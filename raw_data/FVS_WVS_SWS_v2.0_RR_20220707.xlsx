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defaultThemeVersion="124226"/>
  <bookViews>
    <workbookView xWindow="12648" yWindow="12" windowWidth="10416" windowHeight="9684" tabRatio="517" activeTab="1"/>
  </bookViews>
  <sheets>
    <sheet name="READ ME " sheetId="8" r:id="rId1"/>
    <sheet name="VEGETATION" sheetId="3" r:id="rId2"/>
    <sheet name="Sp_score_ref" sheetId="7" r:id="rId3"/>
  </sheets>
  <definedNames>
    <definedName name="_xlnm._FilterDatabase" localSheetId="2" hidden="1">Sp_score_ref!$A$1:$D$1</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4" i="7"/>
  <c r="H8" i="3"/>
  <c r="I8"/>
  <c r="R8" s="1"/>
  <c r="H9"/>
  <c r="I9"/>
  <c r="T9" s="1"/>
  <c r="H10"/>
  <c r="I10"/>
  <c r="N10" s="1"/>
  <c r="H11"/>
  <c r="I11"/>
  <c r="N11" s="1"/>
  <c r="H12"/>
  <c r="I12"/>
  <c r="X12" s="1"/>
  <c r="H13"/>
  <c r="I13"/>
  <c r="W13" s="1"/>
  <c r="H14"/>
  <c r="I14"/>
  <c r="W14" s="1"/>
  <c r="H15"/>
  <c r="I15"/>
  <c r="H16"/>
  <c r="I16"/>
  <c r="S16" s="1"/>
  <c r="H17"/>
  <c r="I17"/>
  <c r="K17" s="1"/>
  <c r="H18"/>
  <c r="I18"/>
  <c r="M18" s="1"/>
  <c r="H19"/>
  <c r="I19"/>
  <c r="H20"/>
  <c r="I20"/>
  <c r="W20" s="1"/>
  <c r="H21"/>
  <c r="I21"/>
  <c r="U21" s="1"/>
  <c r="H22"/>
  <c r="I22"/>
  <c r="Z22" s="1"/>
  <c r="H23"/>
  <c r="I23"/>
  <c r="W23" s="1"/>
  <c r="H24"/>
  <c r="I24"/>
  <c r="P24" s="1"/>
  <c r="H25"/>
  <c r="I25"/>
  <c r="AB25" s="1"/>
  <c r="H26"/>
  <c r="I26"/>
  <c r="V26" s="1"/>
  <c r="H27"/>
  <c r="I27"/>
  <c r="M27" s="1"/>
  <c r="H28"/>
  <c r="I28"/>
  <c r="Y28" s="1"/>
  <c r="H29"/>
  <c r="I29"/>
  <c r="R29" s="1"/>
  <c r="H30"/>
  <c r="I30"/>
  <c r="O30" s="1"/>
  <c r="H31"/>
  <c r="I31"/>
  <c r="L31" s="1"/>
  <c r="H32"/>
  <c r="I32"/>
  <c r="K32" s="1"/>
  <c r="H33"/>
  <c r="I33"/>
  <c r="N33" s="1"/>
  <c r="H34"/>
  <c r="I34"/>
  <c r="U34" s="1"/>
  <c r="H35"/>
  <c r="I35"/>
  <c r="U35" s="1"/>
  <c r="H36"/>
  <c r="I36"/>
  <c r="M36" s="1"/>
  <c r="H37"/>
  <c r="I37"/>
  <c r="Y37" s="1"/>
  <c r="H38"/>
  <c r="I38"/>
  <c r="M38" s="1"/>
  <c r="H39"/>
  <c r="I39"/>
  <c r="Y39" s="1"/>
  <c r="H40"/>
  <c r="I40"/>
  <c r="R40" s="1"/>
  <c r="H41"/>
  <c r="I41"/>
  <c r="R41" s="1"/>
  <c r="H42"/>
  <c r="I42"/>
  <c r="L42" s="1"/>
  <c r="H43"/>
  <c r="I43"/>
  <c r="N43" s="1"/>
  <c r="H44"/>
  <c r="I44"/>
  <c r="M44" s="1"/>
  <c r="H45"/>
  <c r="I45"/>
  <c r="Y45" s="1"/>
  <c r="H46"/>
  <c r="I46"/>
  <c r="W46" s="1"/>
  <c r="H47"/>
  <c r="I47"/>
  <c r="W47" s="1"/>
  <c r="H48"/>
  <c r="I48"/>
  <c r="Q48" s="1"/>
  <c r="H49"/>
  <c r="I49"/>
  <c r="Q49" s="1"/>
  <c r="H50"/>
  <c r="I50"/>
  <c r="M50" s="1"/>
  <c r="H51"/>
  <c r="I51"/>
  <c r="X51" s="1"/>
  <c r="H52"/>
  <c r="I52"/>
  <c r="AA52" s="1"/>
  <c r="H53"/>
  <c r="I53"/>
  <c r="Y53" s="1"/>
  <c r="H54"/>
  <c r="I54"/>
  <c r="T54" s="1"/>
  <c r="H55"/>
  <c r="I55"/>
  <c r="W55" s="1"/>
  <c r="H56"/>
  <c r="I56"/>
  <c r="K56" s="1"/>
  <c r="H57"/>
  <c r="I57"/>
  <c r="O57" s="1"/>
  <c r="H58"/>
  <c r="I58"/>
  <c r="Z58" s="1"/>
  <c r="H59"/>
  <c r="I59"/>
  <c r="Z59" s="1"/>
  <c r="H60"/>
  <c r="I60"/>
  <c r="U60" s="1"/>
  <c r="H61"/>
  <c r="I61"/>
  <c r="S61" s="1"/>
  <c r="H62"/>
  <c r="I62"/>
  <c r="AB62" s="1"/>
  <c r="H63"/>
  <c r="I63"/>
  <c r="L63" s="1"/>
  <c r="H64"/>
  <c r="I64"/>
  <c r="Y64" s="1"/>
  <c r="H65"/>
  <c r="I65"/>
  <c r="W65" s="1"/>
  <c r="H66"/>
  <c r="I66"/>
  <c r="T66" s="1"/>
  <c r="H67"/>
  <c r="I67"/>
  <c r="R67" s="1"/>
  <c r="H68"/>
  <c r="I68"/>
  <c r="S68" s="1"/>
  <c r="H69"/>
  <c r="I69"/>
  <c r="R69" s="1"/>
  <c r="H70"/>
  <c r="I70"/>
  <c r="P70" s="1"/>
  <c r="I7"/>
  <c r="Z7" s="1"/>
  <c r="H7"/>
  <c r="O70" l="1"/>
  <c r="Q53"/>
  <c r="M61"/>
  <c r="Z69"/>
  <c r="AA61"/>
  <c r="R53"/>
  <c r="N37"/>
  <c r="AA29"/>
  <c r="U29"/>
  <c r="S53"/>
  <c r="S21"/>
  <c r="V61"/>
  <c r="AB21"/>
  <c r="W21"/>
  <c r="Z70"/>
  <c r="AA70"/>
  <c r="M70"/>
  <c r="N46"/>
  <c r="W62"/>
  <c r="K38"/>
  <c r="T62"/>
  <c r="U64"/>
  <c r="S54"/>
  <c r="N54"/>
  <c r="P46"/>
  <c r="X38"/>
  <c r="Y54"/>
  <c r="O54"/>
  <c r="P62"/>
  <c r="Z46"/>
  <c r="U30"/>
  <c r="K62"/>
  <c r="Q46"/>
  <c r="V46"/>
  <c r="V30"/>
  <c r="X30"/>
  <c r="X62"/>
  <c r="X22"/>
  <c r="T30"/>
  <c r="R38"/>
  <c r="P64"/>
  <c r="P32"/>
  <c r="Z64"/>
  <c r="S56"/>
  <c r="Y56"/>
  <c r="R64"/>
  <c r="AB64"/>
  <c r="M40"/>
  <c r="T22"/>
  <c r="K22"/>
  <c r="AB22"/>
  <c r="S22"/>
  <c r="Q22"/>
  <c r="U68"/>
  <c r="L58"/>
  <c r="Z23"/>
  <c r="Y69"/>
  <c r="AA45"/>
  <c r="U58"/>
  <c r="U26"/>
  <c r="S42"/>
  <c r="W18"/>
  <c r="K26"/>
  <c r="W26"/>
  <c r="Z50"/>
  <c r="N66"/>
  <c r="P18"/>
  <c r="P50"/>
  <c r="O26"/>
  <c r="Q58"/>
  <c r="L50"/>
  <c r="W58"/>
  <c r="P53"/>
  <c r="K37"/>
  <c r="T69"/>
  <c r="V45"/>
  <c r="P61"/>
  <c r="S69"/>
  <c r="U45"/>
  <c r="V37"/>
  <c r="AB69"/>
  <c r="N69"/>
  <c r="K21"/>
  <c r="X37"/>
  <c r="V53"/>
  <c r="Q29"/>
  <c r="O37"/>
  <c r="R37"/>
  <c r="V69"/>
  <c r="L37"/>
  <c r="Q45"/>
  <c r="L69"/>
  <c r="Q69"/>
  <c r="W45"/>
  <c r="N53"/>
  <c r="AA69"/>
  <c r="T61"/>
  <c r="S37"/>
  <c r="AA37"/>
  <c r="X29"/>
  <c r="Z21"/>
  <c r="T21"/>
  <c r="M37"/>
  <c r="X45"/>
  <c r="V21"/>
  <c r="X69"/>
  <c r="AA21"/>
  <c r="S45"/>
  <c r="W53"/>
  <c r="Z61"/>
  <c r="L61"/>
  <c r="M45"/>
  <c r="Y29"/>
  <c r="U37"/>
  <c r="X21"/>
  <c r="S29"/>
  <c r="K29"/>
  <c r="K61"/>
  <c r="AB37"/>
  <c r="U53"/>
  <c r="Q37"/>
  <c r="R45"/>
  <c r="W37"/>
  <c r="N45"/>
  <c r="L45"/>
  <c r="U61"/>
  <c r="O21"/>
  <c r="O69"/>
  <c r="O45"/>
  <c r="X53"/>
  <c r="K45"/>
  <c r="Y61"/>
  <c r="O61"/>
  <c r="W69"/>
  <c r="Z37"/>
  <c r="P37"/>
  <c r="Z53"/>
  <c r="T37"/>
  <c r="Y21"/>
  <c r="W61"/>
  <c r="P45"/>
  <c r="X61"/>
  <c r="P21"/>
  <c r="Q21"/>
  <c r="AB53"/>
  <c r="M53"/>
  <c r="AB61"/>
  <c r="K53"/>
  <c r="K69"/>
  <c r="W29"/>
  <c r="L29"/>
  <c r="Z45"/>
  <c r="L21"/>
  <c r="M21"/>
  <c r="R61"/>
  <c r="N21"/>
  <c r="M69"/>
  <c r="M29"/>
  <c r="O53"/>
  <c r="U69"/>
  <c r="L53"/>
  <c r="T53"/>
  <c r="AB45"/>
  <c r="R21"/>
  <c r="P69"/>
  <c r="AA53"/>
  <c r="N29"/>
  <c r="N61"/>
  <c r="T45"/>
  <c r="Q61"/>
  <c r="N32"/>
  <c r="L48"/>
  <c r="W32"/>
  <c r="M64"/>
  <c r="AA48"/>
  <c r="O48"/>
  <c r="U32"/>
  <c r="L24"/>
  <c r="R24"/>
  <c r="Z32"/>
  <c r="Y40"/>
  <c r="Q24"/>
  <c r="AB32"/>
  <c r="W40"/>
  <c r="K64"/>
  <c r="X32"/>
  <c r="U40"/>
  <c r="AB24"/>
  <c r="R48"/>
  <c r="W56"/>
  <c r="AA32"/>
  <c r="T40"/>
  <c r="N40"/>
  <c r="N64"/>
  <c r="L40"/>
  <c r="U48"/>
  <c r="K24"/>
  <c r="Y24"/>
  <c r="L32"/>
  <c r="AA56"/>
  <c r="Z56"/>
  <c r="S32"/>
  <c r="Y32"/>
  <c r="O40"/>
  <c r="W24"/>
  <c r="S40"/>
  <c r="O56"/>
  <c r="M32"/>
  <c r="L64"/>
  <c r="V64"/>
  <c r="Q64"/>
  <c r="T24"/>
  <c r="AB48"/>
  <c r="M24"/>
  <c r="V24"/>
  <c r="T56"/>
  <c r="U56"/>
  <c r="X56"/>
  <c r="V32"/>
  <c r="R56"/>
  <c r="O64"/>
  <c r="S64"/>
  <c r="X64"/>
  <c r="S24"/>
  <c r="Y48"/>
  <c r="X24"/>
  <c r="X48"/>
  <c r="T32"/>
  <c r="AB56"/>
  <c r="K40"/>
  <c r="N48"/>
  <c r="V56"/>
  <c r="W64"/>
  <c r="AB40"/>
  <c r="Q40"/>
  <c r="T64"/>
  <c r="S48"/>
  <c r="N24"/>
  <c r="V48"/>
  <c r="AA24"/>
  <c r="Z24"/>
  <c r="W48"/>
  <c r="P56"/>
  <c r="R32"/>
  <c r="X40"/>
  <c r="K48"/>
  <c r="O24"/>
  <c r="Z48"/>
  <c r="L56"/>
  <c r="O32"/>
  <c r="P48"/>
  <c r="M56"/>
  <c r="N56"/>
  <c r="Q56"/>
  <c r="AA40"/>
  <c r="V40"/>
  <c r="AA64"/>
  <c r="P40"/>
  <c r="Z40"/>
  <c r="M48"/>
  <c r="T48"/>
  <c r="U24"/>
  <c r="Q32"/>
  <c r="U13"/>
  <c r="X13"/>
  <c r="O13"/>
  <c r="AB13"/>
  <c r="S26"/>
  <c r="Y26"/>
  <c r="Q26"/>
  <c r="S50"/>
  <c r="T26"/>
  <c r="O34"/>
  <c r="O58"/>
  <c r="P34"/>
  <c r="X58"/>
  <c r="AA42"/>
  <c r="T42"/>
  <c r="M66"/>
  <c r="K42"/>
  <c r="Y50"/>
  <c r="R50"/>
  <c r="X26"/>
  <c r="L26"/>
  <c r="X50"/>
  <c r="P58"/>
  <c r="S34"/>
  <c r="T18"/>
  <c r="K18"/>
  <c r="R18"/>
  <c r="Y66"/>
  <c r="L66"/>
  <c r="V66"/>
  <c r="X66"/>
  <c r="AA50"/>
  <c r="O50"/>
  <c r="N26"/>
  <c r="W50"/>
  <c r="V34"/>
  <c r="Y34"/>
  <c r="V58"/>
  <c r="K58"/>
  <c r="N18"/>
  <c r="AB66"/>
  <c r="R66"/>
  <c r="X42"/>
  <c r="W42"/>
  <c r="S18"/>
  <c r="M42"/>
  <c r="L18"/>
  <c r="M26"/>
  <c r="AA26"/>
  <c r="V50"/>
  <c r="X34"/>
  <c r="AA34"/>
  <c r="M58"/>
  <c r="N34"/>
  <c r="R58"/>
  <c r="O18"/>
  <c r="U18"/>
  <c r="Q42"/>
  <c r="Y18"/>
  <c r="S66"/>
  <c r="V18"/>
  <c r="Z42"/>
  <c r="M34"/>
  <c r="N58"/>
  <c r="T34"/>
  <c r="Q18"/>
  <c r="O66"/>
  <c r="AB42"/>
  <c r="Z66"/>
  <c r="N50"/>
  <c r="R42"/>
  <c r="N42"/>
  <c r="AB50"/>
  <c r="T50"/>
  <c r="AB34"/>
  <c r="L34"/>
  <c r="Y58"/>
  <c r="P42"/>
  <c r="Q66"/>
  <c r="AB18"/>
  <c r="AA66"/>
  <c r="U66"/>
  <c r="Q50"/>
  <c r="W34"/>
  <c r="P66"/>
  <c r="S58"/>
  <c r="AA58"/>
  <c r="Z18"/>
  <c r="P26"/>
  <c r="U50"/>
  <c r="K50"/>
  <c r="R26"/>
  <c r="AB26"/>
  <c r="AB58"/>
  <c r="R34"/>
  <c r="Q34"/>
  <c r="T58"/>
  <c r="Z34"/>
  <c r="AA18"/>
  <c r="O42"/>
  <c r="X18"/>
  <c r="Y42"/>
  <c r="V42"/>
  <c r="W66"/>
  <c r="K66"/>
  <c r="K43"/>
  <c r="M35"/>
  <c r="Z35"/>
  <c r="AB68"/>
  <c r="AA28"/>
  <c r="Z52"/>
  <c r="W68"/>
  <c r="T68"/>
  <c r="X68"/>
  <c r="X20"/>
  <c r="L68"/>
  <c r="R36"/>
  <c r="K68"/>
  <c r="AA44"/>
  <c r="Q28"/>
  <c r="M28"/>
  <c r="Q68"/>
  <c r="V68"/>
  <c r="T60"/>
  <c r="O68"/>
  <c r="N20"/>
  <c r="M52"/>
  <c r="Y68"/>
  <c r="AA68"/>
  <c r="M68"/>
  <c r="N28"/>
  <c r="N68"/>
  <c r="P52"/>
  <c r="N36"/>
  <c r="P68"/>
  <c r="Z68"/>
  <c r="R68"/>
  <c r="W60"/>
  <c r="W8"/>
  <c r="M8"/>
  <c r="T16"/>
  <c r="N16"/>
  <c r="Z62"/>
  <c r="L38"/>
  <c r="S46"/>
  <c r="AA46"/>
  <c r="X46"/>
  <c r="L70"/>
  <c r="O46"/>
  <c r="M30"/>
  <c r="K30"/>
  <c r="P30"/>
  <c r="AB54"/>
  <c r="AB30"/>
  <c r="M62"/>
  <c r="M54"/>
  <c r="Z38"/>
  <c r="P38"/>
  <c r="T38"/>
  <c r="W38"/>
  <c r="W70"/>
  <c r="L46"/>
  <c r="AB70"/>
  <c r="W30"/>
  <c r="Y30"/>
  <c r="S30"/>
  <c r="S62"/>
  <c r="V62"/>
  <c r="Y38"/>
  <c r="Y62"/>
  <c r="U46"/>
  <c r="AA22"/>
  <c r="Y46"/>
  <c r="O22"/>
  <c r="U54"/>
  <c r="R30"/>
  <c r="U62"/>
  <c r="AB38"/>
  <c r="N38"/>
  <c r="S38"/>
  <c r="M22"/>
  <c r="R46"/>
  <c r="Q70"/>
  <c r="Z54"/>
  <c r="Q54"/>
  <c r="U22"/>
  <c r="AA54"/>
  <c r="P54"/>
  <c r="L54"/>
  <c r="V38"/>
  <c r="N62"/>
  <c r="U38"/>
  <c r="Q62"/>
  <c r="R70"/>
  <c r="K46"/>
  <c r="N22"/>
  <c r="AB46"/>
  <c r="Y70"/>
  <c r="R54"/>
  <c r="K54"/>
  <c r="O38"/>
  <c r="Q38"/>
  <c r="AA38"/>
  <c r="T46"/>
  <c r="X70"/>
  <c r="R22"/>
  <c r="S70"/>
  <c r="M46"/>
  <c r="W22"/>
  <c r="L22"/>
  <c r="P22"/>
  <c r="W54"/>
  <c r="L30"/>
  <c r="O62"/>
  <c r="R62"/>
  <c r="AA62"/>
  <c r="U70"/>
  <c r="K70"/>
  <c r="Y22"/>
  <c r="T70"/>
  <c r="V70"/>
  <c r="N70"/>
  <c r="V22"/>
  <c r="N30"/>
  <c r="Z30"/>
  <c r="V54"/>
  <c r="X54"/>
  <c r="L62"/>
  <c r="Q30"/>
  <c r="AA30"/>
  <c r="O47"/>
  <c r="L39"/>
  <c r="V8"/>
  <c r="Y16"/>
  <c r="Y8"/>
  <c r="N13"/>
  <c r="P13"/>
  <c r="Z13"/>
  <c r="U63"/>
  <c r="AA47"/>
  <c r="AA63"/>
  <c r="AB10"/>
  <c r="Y10"/>
  <c r="W35"/>
  <c r="V27"/>
  <c r="V35"/>
  <c r="X10"/>
  <c r="S10"/>
  <c r="L10"/>
  <c r="W10"/>
  <c r="AA10"/>
  <c r="Z10"/>
  <c r="Q10"/>
  <c r="X33"/>
  <c r="V17"/>
  <c r="Y7"/>
  <c r="U10"/>
  <c r="M10"/>
  <c r="T14"/>
  <c r="U14"/>
  <c r="U8"/>
  <c r="R13"/>
  <c r="L7"/>
  <c r="K13"/>
  <c r="M13"/>
  <c r="O8"/>
  <c r="K14"/>
  <c r="L14"/>
  <c r="AB7"/>
  <c r="V13"/>
  <c r="AA13"/>
  <c r="O14"/>
  <c r="AB14"/>
  <c r="V14"/>
  <c r="P14"/>
  <c r="X14"/>
  <c r="S14"/>
  <c r="M14"/>
  <c r="Y14"/>
  <c r="Z14"/>
  <c r="R14"/>
  <c r="T10"/>
  <c r="X7"/>
  <c r="S7"/>
  <c r="Y11"/>
  <c r="X17"/>
  <c r="Z17"/>
  <c r="AB8"/>
  <c r="U16"/>
  <c r="L16"/>
  <c r="R16"/>
  <c r="R9"/>
  <c r="P57"/>
  <c r="AB16"/>
  <c r="M16"/>
  <c r="Q41"/>
  <c r="M11"/>
  <c r="P16"/>
  <c r="Z16"/>
  <c r="T25"/>
  <c r="S11"/>
  <c r="AB11"/>
  <c r="U17"/>
  <c r="W16"/>
  <c r="K8"/>
  <c r="X16"/>
  <c r="O16"/>
  <c r="P8"/>
  <c r="Q8"/>
  <c r="X11"/>
  <c r="S8"/>
  <c r="V16"/>
  <c r="P10"/>
  <c r="Q16"/>
  <c r="O10"/>
  <c r="V10"/>
  <c r="K10"/>
  <c r="R10"/>
  <c r="AA16"/>
  <c r="Q13"/>
  <c r="Y13"/>
  <c r="S13"/>
  <c r="AA12"/>
  <c r="X49"/>
  <c r="T57"/>
  <c r="R25"/>
  <c r="T13"/>
  <c r="W17"/>
  <c r="AA8"/>
  <c r="P65"/>
  <c r="L8"/>
  <c r="N8"/>
  <c r="K16"/>
  <c r="Z49"/>
  <c r="K57"/>
  <c r="U57"/>
  <c r="X8"/>
  <c r="V65"/>
  <c r="N25"/>
  <c r="Q25"/>
  <c r="R49"/>
  <c r="S25"/>
  <c r="W57"/>
  <c r="AA57"/>
  <c r="T33"/>
  <c r="Y33"/>
  <c r="Z9"/>
  <c r="R65"/>
  <c r="X41"/>
  <c r="O65"/>
  <c r="K49"/>
  <c r="S49"/>
  <c r="U41"/>
  <c r="W49"/>
  <c r="X25"/>
  <c r="V49"/>
  <c r="T49"/>
  <c r="O17"/>
  <c r="P25"/>
  <c r="AB65"/>
  <c r="L33"/>
  <c r="AA65"/>
  <c r="K65"/>
  <c r="Q17"/>
  <c r="N17"/>
  <c r="AA25"/>
  <c r="W41"/>
  <c r="S41"/>
  <c r="S33"/>
  <c r="V9"/>
  <c r="L25"/>
  <c r="Y9"/>
  <c r="Q33"/>
  <c r="AA33"/>
  <c r="AB9"/>
  <c r="N65"/>
  <c r="W25"/>
  <c r="V41"/>
  <c r="T65"/>
  <c r="L65"/>
  <c r="Q65"/>
  <c r="Y17"/>
  <c r="L49"/>
  <c r="P17"/>
  <c r="S17"/>
  <c r="M25"/>
  <c r="M33"/>
  <c r="Y25"/>
  <c r="N9"/>
  <c r="K33"/>
  <c r="Q57"/>
  <c r="AB33"/>
  <c r="S57"/>
  <c r="U49"/>
  <c r="AB41"/>
  <c r="K41"/>
  <c r="R33"/>
  <c r="M17"/>
  <c r="AA17"/>
  <c r="AA49"/>
  <c r="V25"/>
  <c r="N41"/>
  <c r="Y41"/>
  <c r="L41"/>
  <c r="Q9"/>
  <c r="X57"/>
  <c r="U25"/>
  <c r="N57"/>
  <c r="O33"/>
  <c r="L9"/>
  <c r="M57"/>
  <c r="S65"/>
  <c r="M65"/>
  <c r="Z65"/>
  <c r="O41"/>
  <c r="O25"/>
  <c r="O49"/>
  <c r="M41"/>
  <c r="U33"/>
  <c r="P33"/>
  <c r="L57"/>
  <c r="V57"/>
  <c r="Z33"/>
  <c r="V33"/>
  <c r="Y57"/>
  <c r="U65"/>
  <c r="M49"/>
  <c r="X65"/>
  <c r="AB49"/>
  <c r="Z25"/>
  <c r="L17"/>
  <c r="Z41"/>
  <c r="AB17"/>
  <c r="N49"/>
  <c r="T17"/>
  <c r="R17"/>
  <c r="P49"/>
  <c r="S9"/>
  <c r="X9"/>
  <c r="R57"/>
  <c r="AB57"/>
  <c r="O9"/>
  <c r="Y49"/>
  <c r="Z57"/>
  <c r="Y65"/>
  <c r="T41"/>
  <c r="AA9"/>
  <c r="K25"/>
  <c r="N14"/>
  <c r="Q14"/>
  <c r="AA14"/>
  <c r="Q44"/>
  <c r="R20"/>
  <c r="V44"/>
  <c r="Y44"/>
  <c r="U20"/>
  <c r="U28"/>
  <c r="S28"/>
  <c r="P28"/>
  <c r="R52"/>
  <c r="Y36"/>
  <c r="M12"/>
  <c r="X36"/>
  <c r="Q36"/>
  <c r="M60"/>
  <c r="K44"/>
  <c r="O20"/>
  <c r="L52"/>
  <c r="T28"/>
  <c r="Z28"/>
  <c r="K52"/>
  <c r="Q52"/>
  <c r="O36"/>
  <c r="K36"/>
  <c r="X60"/>
  <c r="Y60"/>
  <c r="S12"/>
  <c r="Z44"/>
  <c r="K20"/>
  <c r="Z20"/>
  <c r="S44"/>
  <c r="M20"/>
  <c r="L44"/>
  <c r="P44"/>
  <c r="X44"/>
  <c r="N52"/>
  <c r="AB28"/>
  <c r="K12"/>
  <c r="V12"/>
  <c r="L12"/>
  <c r="Z36"/>
  <c r="P12"/>
  <c r="AB36"/>
  <c r="R44"/>
  <c r="Z12"/>
  <c r="P60"/>
  <c r="N60"/>
  <c r="N44"/>
  <c r="O52"/>
  <c r="T52"/>
  <c r="U52"/>
  <c r="V52"/>
  <c r="O12"/>
  <c r="W12"/>
  <c r="W36"/>
  <c r="O60"/>
  <c r="Q12"/>
  <c r="Y12"/>
  <c r="U36"/>
  <c r="T36"/>
  <c r="U67"/>
  <c r="S20"/>
  <c r="T20"/>
  <c r="W44"/>
  <c r="O44"/>
  <c r="P20"/>
  <c r="X28"/>
  <c r="AB52"/>
  <c r="W28"/>
  <c r="X52"/>
  <c r="K28"/>
  <c r="L28"/>
  <c r="P36"/>
  <c r="V60"/>
  <c r="L36"/>
  <c r="AB12"/>
  <c r="AB60"/>
  <c r="AB20"/>
  <c r="AA20"/>
  <c r="T44"/>
  <c r="U44"/>
  <c r="V28"/>
  <c r="Y52"/>
  <c r="O28"/>
  <c r="U12"/>
  <c r="Q60"/>
  <c r="S60"/>
  <c r="AB44"/>
  <c r="Z60"/>
  <c r="Y20"/>
  <c r="AA60"/>
  <c r="V20"/>
  <c r="Q20"/>
  <c r="S52"/>
  <c r="R28"/>
  <c r="W52"/>
  <c r="N12"/>
  <c r="S36"/>
  <c r="T12"/>
  <c r="AA36"/>
  <c r="V36"/>
  <c r="K60"/>
  <c r="M67"/>
  <c r="R12"/>
  <c r="L20"/>
  <c r="L60"/>
  <c r="R60"/>
  <c r="Q11"/>
  <c r="K11"/>
  <c r="R11"/>
  <c r="Z11"/>
  <c r="W11"/>
  <c r="U11"/>
  <c r="T11"/>
  <c r="O11"/>
  <c r="P11"/>
  <c r="L11"/>
  <c r="AA11"/>
  <c r="V11"/>
  <c r="AA19"/>
  <c r="W19"/>
  <c r="M19"/>
  <c r="Q19"/>
  <c r="L19"/>
  <c r="K19"/>
  <c r="V19"/>
  <c r="S19"/>
  <c r="Z19"/>
  <c r="O19"/>
  <c r="U19"/>
  <c r="R19"/>
  <c r="T19"/>
  <c r="AB19"/>
  <c r="P19"/>
  <c r="N19"/>
  <c r="Y19"/>
  <c r="X19"/>
  <c r="AB27"/>
  <c r="Q27"/>
  <c r="R27"/>
  <c r="K27"/>
  <c r="P27"/>
  <c r="AA27"/>
  <c r="S27"/>
  <c r="T27"/>
  <c r="Z27"/>
  <c r="Y27"/>
  <c r="O27"/>
  <c r="L27"/>
  <c r="N27"/>
  <c r="X27"/>
  <c r="W27"/>
  <c r="U27"/>
  <c r="S35"/>
  <c r="Q35"/>
  <c r="X35"/>
  <c r="AB35"/>
  <c r="AA35"/>
  <c r="Y35"/>
  <c r="K35"/>
  <c r="O35"/>
  <c r="N35"/>
  <c r="L35"/>
  <c r="T35"/>
  <c r="P35"/>
  <c r="R35"/>
  <c r="P43"/>
  <c r="Y43"/>
  <c r="Z43"/>
  <c r="W43"/>
  <c r="M43"/>
  <c r="Q43"/>
  <c r="S43"/>
  <c r="X43"/>
  <c r="AA43"/>
  <c r="T43"/>
  <c r="L43"/>
  <c r="O43"/>
  <c r="AB43"/>
  <c r="V43"/>
  <c r="R43"/>
  <c r="U43"/>
  <c r="N51"/>
  <c r="Q51"/>
  <c r="O51"/>
  <c r="T51"/>
  <c r="V51"/>
  <c r="R51"/>
  <c r="Z51"/>
  <c r="U51"/>
  <c r="M51"/>
  <c r="AB51"/>
  <c r="S51"/>
  <c r="W51"/>
  <c r="P51"/>
  <c r="AA51"/>
  <c r="K51"/>
  <c r="L51"/>
  <c r="Y51"/>
  <c r="U59"/>
  <c r="V59"/>
  <c r="P59"/>
  <c r="R59"/>
  <c r="O59"/>
  <c r="W59"/>
  <c r="AB59"/>
  <c r="T59"/>
  <c r="M59"/>
  <c r="AA59"/>
  <c r="Q59"/>
  <c r="K59"/>
  <c r="Y59"/>
  <c r="L59"/>
  <c r="N59"/>
  <c r="S59"/>
  <c r="X59"/>
  <c r="V67"/>
  <c r="O67"/>
  <c r="W67"/>
  <c r="P67"/>
  <c r="Y67"/>
  <c r="S67"/>
  <c r="Z67"/>
  <c r="AB67"/>
  <c r="K67"/>
  <c r="T67"/>
  <c r="Q67"/>
  <c r="X67"/>
  <c r="L67"/>
  <c r="N67"/>
  <c r="AA67"/>
  <c r="R7"/>
  <c r="U7"/>
  <c r="M7"/>
  <c r="AA7"/>
  <c r="W7"/>
  <c r="N7"/>
  <c r="Q7"/>
  <c r="O7"/>
  <c r="T7"/>
  <c r="P7"/>
  <c r="V7"/>
  <c r="K7"/>
  <c r="AB15"/>
  <c r="AA15"/>
  <c r="P15"/>
  <c r="R15"/>
  <c r="O15"/>
  <c r="M15"/>
  <c r="Z15"/>
  <c r="X15"/>
  <c r="N15"/>
  <c r="T15"/>
  <c r="Q15"/>
  <c r="L15"/>
  <c r="S15"/>
  <c r="W15"/>
  <c r="V15"/>
  <c r="U15"/>
  <c r="S23"/>
  <c r="Y23"/>
  <c r="O23"/>
  <c r="T23"/>
  <c r="L23"/>
  <c r="M23"/>
  <c r="R23"/>
  <c r="P23"/>
  <c r="Q23"/>
  <c r="V23"/>
  <c r="N23"/>
  <c r="X23"/>
  <c r="K23"/>
  <c r="U23"/>
  <c r="AA23"/>
  <c r="AB23"/>
  <c r="Y31"/>
  <c r="R31"/>
  <c r="P31"/>
  <c r="N31"/>
  <c r="X31"/>
  <c r="M31"/>
  <c r="W31"/>
  <c r="AB31"/>
  <c r="S31"/>
  <c r="Q31"/>
  <c r="U31"/>
  <c r="T31"/>
  <c r="K31"/>
  <c r="Z31"/>
  <c r="V31"/>
  <c r="O31"/>
  <c r="AA31"/>
  <c r="O39"/>
  <c r="T39"/>
  <c r="W39"/>
  <c r="AA39"/>
  <c r="R39"/>
  <c r="Q39"/>
  <c r="M39"/>
  <c r="V39"/>
  <c r="S39"/>
  <c r="Z39"/>
  <c r="P39"/>
  <c r="K39"/>
  <c r="N39"/>
  <c r="AB39"/>
  <c r="X39"/>
  <c r="U39"/>
  <c r="M47"/>
  <c r="K47"/>
  <c r="P47"/>
  <c r="V47"/>
  <c r="X47"/>
  <c r="T47"/>
  <c r="S47"/>
  <c r="U47"/>
  <c r="Q47"/>
  <c r="L47"/>
  <c r="Y47"/>
  <c r="R47"/>
  <c r="AB47"/>
  <c r="Z47"/>
  <c r="N47"/>
  <c r="P55"/>
  <c r="Y55"/>
  <c r="V55"/>
  <c r="S55"/>
  <c r="R55"/>
  <c r="T55"/>
  <c r="Z55"/>
  <c r="X55"/>
  <c r="AB55"/>
  <c r="AA55"/>
  <c r="L55"/>
  <c r="N55"/>
  <c r="O55"/>
  <c r="U55"/>
  <c r="Q55"/>
  <c r="K55"/>
  <c r="M55"/>
  <c r="T63"/>
  <c r="P63"/>
  <c r="Z63"/>
  <c r="Q63"/>
  <c r="S63"/>
  <c r="M63"/>
  <c r="K63"/>
  <c r="W63"/>
  <c r="O63"/>
  <c r="V63"/>
  <c r="N63"/>
  <c r="R63"/>
  <c r="X63"/>
  <c r="Y63"/>
  <c r="AB63"/>
  <c r="K15"/>
  <c r="Y15"/>
  <c r="W9"/>
  <c r="Z26"/>
  <c r="T8"/>
  <c r="U9"/>
  <c r="L13"/>
  <c r="O29"/>
  <c r="W33"/>
  <c r="AA41"/>
  <c r="M9"/>
  <c r="T29"/>
  <c r="Z29"/>
  <c r="V29"/>
  <c r="K34"/>
  <c r="U42"/>
  <c r="P9"/>
  <c r="P29"/>
  <c r="K9"/>
  <c r="P41"/>
  <c r="AB29"/>
  <c r="Z8"/>
  <c r="AB71" l="1"/>
  <c r="S71"/>
  <c r="Y71"/>
  <c r="Q71"/>
  <c r="L71"/>
  <c r="X71"/>
  <c r="Z71"/>
  <c r="N71"/>
  <c r="W71"/>
  <c r="K71"/>
  <c r="AA71"/>
  <c r="V71"/>
  <c r="M71"/>
  <c r="P71"/>
  <c r="U71"/>
  <c r="T71"/>
  <c r="R71"/>
  <c r="O71"/>
  <c r="AB85" l="1"/>
  <c r="AB86" s="1"/>
  <c r="S85"/>
  <c r="S86" s="1"/>
  <c r="R85"/>
  <c r="R86" s="1"/>
  <c r="I91"/>
  <c r="AA85"/>
  <c r="O85"/>
  <c r="O86" s="1"/>
  <c r="P85"/>
  <c r="P86" s="1"/>
  <c r="I90"/>
  <c r="V85"/>
  <c r="V86" s="1"/>
  <c r="D91"/>
  <c r="D90"/>
  <c r="U85"/>
  <c r="U86" s="1"/>
  <c r="I89"/>
  <c r="L85"/>
  <c r="L86" s="1"/>
  <c r="M85"/>
  <c r="M86" s="1"/>
  <c r="X85"/>
  <c r="X86" s="1"/>
  <c r="Y85"/>
  <c r="Y86" s="1"/>
  <c r="Z86" l="1"/>
  <c r="I92"/>
  <c r="AA86"/>
  <c r="T86"/>
  <c r="Q86"/>
  <c r="K86"/>
  <c r="W86"/>
  <c r="N86"/>
  <c r="D87" l="1"/>
  <c r="D92"/>
</calcChain>
</file>

<file path=xl/sharedStrings.xml><?xml version="1.0" encoding="utf-8"?>
<sst xmlns="http://schemas.openxmlformats.org/spreadsheetml/2006/main" count="5797" uniqueCount="3174">
  <si>
    <t>Only fill in the</t>
  </si>
  <si>
    <t>BLUE (press F2 to enter cell)</t>
  </si>
  <si>
    <t>and</t>
  </si>
  <si>
    <t>GREY</t>
  </si>
  <si>
    <t xml:space="preserve"> cells</t>
  </si>
  <si>
    <t>ORANGE cells are field headings</t>
  </si>
  <si>
    <t xml:space="preserve">Site name &amp; location: </t>
  </si>
  <si>
    <t>Date of survey:</t>
  </si>
  <si>
    <t xml:space="preserve">Survey Id. and/or Site Id. codes: </t>
  </si>
  <si>
    <t>Species code. Enter species codes in the grey column below. Refer to sheet Sp_score_ref for a full list   and special codes.</t>
  </si>
  <si>
    <t>C/A code. Refer to the table to the left for C/A values.</t>
  </si>
  <si>
    <t>The cells below will autofill with the species' full name</t>
  </si>
  <si>
    <t>The cells below will autofill with the species' regional Significance Rating</t>
  </si>
  <si>
    <t>Non-grass species</t>
  </si>
  <si>
    <t>Level A species (BB 1 to 7)</t>
  </si>
  <si>
    <t>Level A species (no C/A score 2)</t>
  </si>
  <si>
    <t>Level A species (no C/A score 1)</t>
  </si>
  <si>
    <t>Level B species (BB 1 to 7)</t>
  </si>
  <si>
    <t>Level C species (no C/A score 2)</t>
  </si>
  <si>
    <t>Level C species (no C/A score 1)</t>
  </si>
  <si>
    <t>Level C species (BB 1 to 7)</t>
  </si>
  <si>
    <t>Level C species  (no C/A score 2)</t>
  </si>
  <si>
    <t>Level C species  (no C/A score 1)</t>
  </si>
  <si>
    <t>Level X weed species (BB 1 to 7)</t>
  </si>
  <si>
    <t>Level X weed species (no C/A score 2)</t>
  </si>
  <si>
    <t>Level X weed species (no C/A score 1)</t>
  </si>
  <si>
    <t>Level Y weed species (BB 1 to 7)</t>
  </si>
  <si>
    <t>Level Y weed species (no C/A score 2)</t>
  </si>
  <si>
    <t>Level Y weed species (no C/A score 1)</t>
  </si>
  <si>
    <t>Level Z weed species (level 3) (C/A score 1 to 7)</t>
  </si>
  <si>
    <t>Level Z weed  species (level 3) (no C/A score 2)</t>
  </si>
  <si>
    <t>Level Z weed  species (level 3) (no C/A score 1)</t>
  </si>
  <si>
    <t>chry apic</t>
  </si>
  <si>
    <t>Plot information</t>
  </si>
  <si>
    <t>euca spn</t>
  </si>
  <si>
    <t>Datum and Zone</t>
  </si>
  <si>
    <t>xant spin</t>
  </si>
  <si>
    <t>AMG Easting</t>
  </si>
  <si>
    <t>rosa rubi</t>
  </si>
  <si>
    <t>AMG Northing</t>
  </si>
  <si>
    <t>genoplesium</t>
  </si>
  <si>
    <t>erag curv</t>
  </si>
  <si>
    <t>Cover / abundance scores for data entry</t>
  </si>
  <si>
    <t>nass nees</t>
  </si>
  <si>
    <t>&lt; 5 % cover and solitary (&lt; 4 individuals)</t>
  </si>
  <si>
    <t>euca albe</t>
  </si>
  <si>
    <t>&lt; 5 % cover and few (4-15 individuals)</t>
  </si>
  <si>
    <t>&lt; 5 % cover and numerous (&gt; 15 individuals)</t>
  </si>
  <si>
    <t>5 %  &lt; 25 % cover</t>
  </si>
  <si>
    <t>25 %  &lt; 50 % cover</t>
  </si>
  <si>
    <t>50 % &lt; 75 % cover</t>
  </si>
  <si>
    <r>
      <rPr>
        <sz val="11"/>
        <rFont val="Calibri"/>
        <family val="2"/>
      </rPr>
      <t>≥</t>
    </r>
    <r>
      <rPr>
        <sz val="11"/>
        <rFont val="Arial"/>
        <family val="2"/>
      </rPr>
      <t xml:space="preserve"> 75 % cover</t>
    </r>
  </si>
  <si>
    <t>RED cells contain data entry instructions (see below)</t>
  </si>
  <si>
    <t>YELLOW cells return analysis values (see below)</t>
  </si>
  <si>
    <t>For tips on entering data, see the next sheet</t>
  </si>
  <si>
    <t>Information for assessment purposes only</t>
  </si>
  <si>
    <t>Litter (cover %)</t>
  </si>
  <si>
    <t>Bare ground (% cover)</t>
  </si>
  <si>
    <t>Cryptogam (% cover)</t>
  </si>
  <si>
    <t>*</t>
  </si>
  <si>
    <t>Woody debris (linear m)</t>
  </si>
  <si>
    <t>Woody regeneration (no. spp.)</t>
  </si>
  <si>
    <t>Woody regeneration (abund.)</t>
  </si>
  <si>
    <t>Rocks - surface (cover %)</t>
  </si>
  <si>
    <t>Rocks - outcropping (cover %)</t>
  </si>
  <si>
    <t>Note 1: The above data are consistent with the NSW Vegetation Information Standards</t>
  </si>
  <si>
    <t>Note 2: The above values do not contribute to the site's Floristic Value Score</t>
  </si>
  <si>
    <t>Note 3: In the list at right, species marked A, B &amp; C are native; species X, Y, Z are exotic</t>
  </si>
  <si>
    <t>If you require more than 10 rows for species data after row 60, select rows 60 to 64, press (Alt IE), then select cells H59 to AC59, then  select all the cells that are empty of formulae (#N/A), including the selected AC cells, and then press (Ctrl D). Repeat if necessary</t>
  </si>
  <si>
    <t>Level B species (no C/A score 2)</t>
  </si>
  <si>
    <t>Level B species (no C/A score 1)</t>
  </si>
  <si>
    <t>Level X species (BB 1 to 7)</t>
  </si>
  <si>
    <t>Level X species (no C/A score 2)</t>
  </si>
  <si>
    <t>Level X species (no C/A score 1)</t>
  </si>
  <si>
    <t>Level Y species (BB 1 to 7)</t>
  </si>
  <si>
    <t>Level Y species (no C/A score 2)</t>
  </si>
  <si>
    <t>Level Y species (no C/A score 1)</t>
  </si>
  <si>
    <t>Level Z species (BB 1 to 7)</t>
  </si>
  <si>
    <t>Level Z species (no C/A score 2)</t>
  </si>
  <si>
    <t>Level Z species (no C/A score 1)</t>
  </si>
  <si>
    <t>Special Case Additional Scores to be Added, as Appropriate</t>
  </si>
  <si>
    <r>
      <t xml:space="preserve">If </t>
    </r>
    <r>
      <rPr>
        <b/>
        <i/>
        <sz val="12"/>
        <rFont val="Arial"/>
        <family val="2"/>
      </rPr>
      <t xml:space="preserve">Themeda triandra </t>
    </r>
    <r>
      <rPr>
        <b/>
        <sz val="12"/>
        <rFont val="Arial"/>
        <family val="2"/>
      </rPr>
      <t xml:space="preserve">is present at the site with a cover of 75% or greater add value of "1" in this box. </t>
    </r>
  </si>
  <si>
    <t>Significance ratings</t>
  </si>
  <si>
    <t>3 to 7</t>
  </si>
  <si>
    <t>C</t>
  </si>
  <si>
    <t>Z</t>
  </si>
  <si>
    <r>
      <t xml:space="preserve">If </t>
    </r>
    <r>
      <rPr>
        <b/>
        <i/>
        <sz val="12"/>
        <rFont val="Arial"/>
        <family val="2"/>
      </rPr>
      <t>Poa labillardierei</t>
    </r>
    <r>
      <rPr>
        <b/>
        <sz val="12"/>
        <rFont val="Arial"/>
        <family val="2"/>
      </rPr>
      <t xml:space="preserve"> is present in a drainage depression or flat with a cover of 75% or greater, then add the value of "1" in this box</t>
    </r>
  </si>
  <si>
    <t>B</t>
  </si>
  <si>
    <t>Y</t>
  </si>
  <si>
    <t>A</t>
  </si>
  <si>
    <t>X</t>
  </si>
  <si>
    <t>If the cover of cryptogams, including the total of all mosses, lichens and soil algal crusts is less than 2%, add "0.33" in this box; if cover is between 2% and less than 10%, add "0.40"; and if cover is 10% or greater, add "1.00".  Note: cryptogam cover only refers to that on the soil's surface, and not that on the surface of rocks.</t>
  </si>
  <si>
    <t>The yellow box below returns the Floristic Value Score (FVS) for this plot</t>
  </si>
  <si>
    <t>Floristic Value Score (FVS)</t>
  </si>
  <si>
    <t>Level A species (BB 3 to 7)</t>
  </si>
  <si>
    <t>Level A species (C/A score 2)</t>
  </si>
  <si>
    <t>Level A species (C/A score 1)</t>
  </si>
  <si>
    <t>Level B species (BB 3 to 7)</t>
  </si>
  <si>
    <t>Level B species (C/A score 2)</t>
  </si>
  <si>
    <t>Level B species (C/A score 1)</t>
  </si>
  <si>
    <t>Level C species (BB 3 to 7)</t>
  </si>
  <si>
    <t>Level C species (C/A score 2)</t>
  </si>
  <si>
    <t>Level C species (C/A score 1)</t>
  </si>
  <si>
    <t>Level Y weed species (level 3) (BB 1 to 7)</t>
  </si>
  <si>
    <t>Level Y weed species (level 3) (no C/A score 2)</t>
  </si>
  <si>
    <t>Level Y weed species (level 3) (no C/A score 1)</t>
  </si>
  <si>
    <t>Native Plant Species Profile of Plot</t>
  </si>
  <si>
    <t>Exotic Plant Species Profile of Plot</t>
  </si>
  <si>
    <t>Number of level A species</t>
  </si>
  <si>
    <t>Number of exotic species</t>
  </si>
  <si>
    <t>Number of level B species</t>
  </si>
  <si>
    <t>Number of significant weed species (level X species)</t>
  </si>
  <si>
    <t>Number of level C species</t>
  </si>
  <si>
    <t>Weed value score</t>
  </si>
  <si>
    <t>Total number of native species</t>
  </si>
  <si>
    <t>x</t>
  </si>
  <si>
    <t>SCIENTIFIC NAMES</t>
  </si>
  <si>
    <r>
      <t>Significance Rating</t>
    </r>
    <r>
      <rPr>
        <b/>
        <sz val="10"/>
        <color indexed="10"/>
        <rFont val="Arial"/>
        <family val="2"/>
      </rPr>
      <t xml:space="preserve"> </t>
    </r>
  </si>
  <si>
    <t>See below for instructions on entering species codes</t>
  </si>
  <si>
    <t>abut fras</t>
  </si>
  <si>
    <t>Abutilon fraseri</t>
  </si>
  <si>
    <t>Sensitive tree, shrub or climber</t>
  </si>
  <si>
    <t>abut oxyc</t>
  </si>
  <si>
    <t>Abutilon oxycarpum</t>
  </si>
  <si>
    <t>Things to remember when entering data</t>
  </si>
  <si>
    <t>acac acin</t>
  </si>
  <si>
    <t>Acacia acinacea</t>
  </si>
  <si>
    <t>o</t>
  </si>
  <si>
    <t>acac aspe</t>
  </si>
  <si>
    <t>Acacia aspera</t>
  </si>
  <si>
    <t>Sensitive pea (Fabaceae)</t>
  </si>
  <si>
    <t>acac brac</t>
  </si>
  <si>
    <t>Acacia brachybotrya</t>
  </si>
  <si>
    <t>acac brow</t>
  </si>
  <si>
    <t>Acacia brownii</t>
  </si>
  <si>
    <t>acac buxi</t>
  </si>
  <si>
    <t>Acacia buxifolia</t>
  </si>
  <si>
    <t>acac caes</t>
  </si>
  <si>
    <t>Acacia caesiella</t>
  </si>
  <si>
    <r>
      <t xml:space="preserve">. If the genus name has only 3 letters (i.e., </t>
    </r>
    <r>
      <rPr>
        <i/>
        <sz val="10"/>
        <rFont val="Arial"/>
        <family val="2"/>
      </rPr>
      <t>Poa</t>
    </r>
    <r>
      <rPr>
        <sz val="10"/>
        <rFont val="Arial"/>
        <family val="2"/>
      </rPr>
      <t>)</t>
    </r>
  </si>
  <si>
    <t>acac card</t>
  </si>
  <si>
    <t>Acacia cardiophylla</t>
  </si>
  <si>
    <t>acac chee</t>
  </si>
  <si>
    <t>Acacia cheelii</t>
  </si>
  <si>
    <t>acac deal</t>
  </si>
  <si>
    <t>Acacia dealbata</t>
  </si>
  <si>
    <t>acac dean</t>
  </si>
  <si>
    <t>Acacia deanei</t>
  </si>
  <si>
    <t>acac debi</t>
  </si>
  <si>
    <t>Acacia debilis</t>
  </si>
  <si>
    <t>acac deco</t>
  </si>
  <si>
    <t>Acacia decora</t>
  </si>
  <si>
    <t>acac decu</t>
  </si>
  <si>
    <t>Acacia decurrens</t>
  </si>
  <si>
    <t>acac dora</t>
  </si>
  <si>
    <t>Acacia doratoxylon</t>
  </si>
  <si>
    <t>acac doro</t>
  </si>
  <si>
    <t>Acacia dorothea</t>
  </si>
  <si>
    <t>acacia falcata</t>
  </si>
  <si>
    <t>Acacia falcata</t>
  </si>
  <si>
    <t>acacia falciformis</t>
  </si>
  <si>
    <t>Acacia falciformis</t>
  </si>
  <si>
    <t>acac fili</t>
  </si>
  <si>
    <t>Acacia filicifolia</t>
  </si>
  <si>
    <t>acac flex</t>
  </si>
  <si>
    <t>Acacia flexifolia</t>
  </si>
  <si>
    <t>acac geni</t>
  </si>
  <si>
    <t>Acacia genistifolia</t>
  </si>
  <si>
    <t>acac glad</t>
  </si>
  <si>
    <t>Acacia gladiiformis</t>
  </si>
  <si>
    <t>acac gunn</t>
  </si>
  <si>
    <t>Acacia gunnii</t>
  </si>
  <si>
    <t>acac hake</t>
  </si>
  <si>
    <t>Acacia hakeoides</t>
  </si>
  <si>
    <t>acac impl</t>
  </si>
  <si>
    <t>Acacia implexa</t>
  </si>
  <si>
    <t>Acacia ixiophylla</t>
  </si>
  <si>
    <t>acac ixod</t>
  </si>
  <si>
    <t>Acacia ixodes</t>
  </si>
  <si>
    <t>acac kybe</t>
  </si>
  <si>
    <t>Acacia kybeanensis</t>
  </si>
  <si>
    <t>acac lani</t>
  </si>
  <si>
    <t>Acacia lanigera</t>
  </si>
  <si>
    <t>acac leio</t>
  </si>
  <si>
    <t>Acacia leiocalyx</t>
  </si>
  <si>
    <t>acac leuc</t>
  </si>
  <si>
    <t>Acacia leucoclada</t>
  </si>
  <si>
    <t>acac line</t>
  </si>
  <si>
    <t>Acacia linearifolia</t>
  </si>
  <si>
    <t>acac mear</t>
  </si>
  <si>
    <t>Acacia mearnsii</t>
  </si>
  <si>
    <t>acac mela</t>
  </si>
  <si>
    <t>Acacia melanoxylon</t>
  </si>
  <si>
    <t>acac moll</t>
  </si>
  <si>
    <t>Acacia mollifolia</t>
  </si>
  <si>
    <t>acac mont</t>
  </si>
  <si>
    <t>Acacia montana</t>
  </si>
  <si>
    <t>acac myrt</t>
  </si>
  <si>
    <t>Acacia myrtifolia</t>
  </si>
  <si>
    <t>acac obtu</t>
  </si>
  <si>
    <t>Acacia obtusifolia</t>
  </si>
  <si>
    <t>acac omal</t>
  </si>
  <si>
    <t>Acacia omalophylla</t>
  </si>
  <si>
    <t>acac oswa</t>
  </si>
  <si>
    <t>Acacia oswaldii</t>
  </si>
  <si>
    <t>acac para</t>
  </si>
  <si>
    <t>Acacia paradoxa</t>
  </si>
  <si>
    <t>Disturbance-resilient or disturbance-responder tree, shrub or climber</t>
  </si>
  <si>
    <t>acac parr</t>
  </si>
  <si>
    <t>Acacia parramattensis</t>
  </si>
  <si>
    <t>acac parv</t>
  </si>
  <si>
    <t>Acacia parvipinnula</t>
  </si>
  <si>
    <t>acac pend</t>
  </si>
  <si>
    <t>Acacia pendula</t>
  </si>
  <si>
    <t>acac penn</t>
  </si>
  <si>
    <t>Acacia penninervis</t>
  </si>
  <si>
    <t>acac poda</t>
  </si>
  <si>
    <t>Acacia podalyriifolia</t>
  </si>
  <si>
    <t>acac pycn</t>
  </si>
  <si>
    <t>Acacia pycnantha</t>
  </si>
  <si>
    <t>acac rubi</t>
  </si>
  <si>
    <t>Acacia rubida</t>
  </si>
  <si>
    <t>acac sali</t>
  </si>
  <si>
    <t>Acacia salicina</t>
  </si>
  <si>
    <t>acac sicu</t>
  </si>
  <si>
    <t>Acacia siculiformis</t>
  </si>
  <si>
    <t>acacia</t>
  </si>
  <si>
    <t>Acacia sp.</t>
  </si>
  <si>
    <t>acac spe</t>
  </si>
  <si>
    <t>Acacia sp. (exotic; i.e. not locally indigenous; may be invasive or planted)</t>
  </si>
  <si>
    <t>acac spn</t>
  </si>
  <si>
    <t>acac spec</t>
  </si>
  <si>
    <t>Acacia spectabilis</t>
  </si>
  <si>
    <t>acac ulic</t>
  </si>
  <si>
    <t>Acacia ulicifolia</t>
  </si>
  <si>
    <t>acac vern</t>
  </si>
  <si>
    <t>Acacia verniciflua</t>
  </si>
  <si>
    <t>acac vest</t>
  </si>
  <si>
    <t>Acacia vestita</t>
  </si>
  <si>
    <t>acae agni</t>
  </si>
  <si>
    <t>Acaena agnipila</t>
  </si>
  <si>
    <t>Disturbance-resilient or disturbance-responder forb</t>
  </si>
  <si>
    <t>acae echi</t>
  </si>
  <si>
    <t>Acaena echinata</t>
  </si>
  <si>
    <t>acae nova</t>
  </si>
  <si>
    <t>Acaena novae-zelandiae</t>
  </si>
  <si>
    <t>acae ovin</t>
  </si>
  <si>
    <t>Acaena ovina</t>
  </si>
  <si>
    <t>acaena</t>
  </si>
  <si>
    <t>Acaena sp.</t>
  </si>
  <si>
    <t>acac xans</t>
  </si>
  <si>
    <t>Acaena x anserovina</t>
  </si>
  <si>
    <t>acer nego</t>
  </si>
  <si>
    <t>Acer negundo</t>
  </si>
  <si>
    <t>acro diva</t>
  </si>
  <si>
    <t>Acrotriche divaricata</t>
  </si>
  <si>
    <t>Semi-sensitive tree, shrub or climber</t>
  </si>
  <si>
    <t>acro rigi</t>
  </si>
  <si>
    <t>Acrotriche rigida</t>
  </si>
  <si>
    <t>acro serr</t>
  </si>
  <si>
    <t>Acrotriche serrulata</t>
  </si>
  <si>
    <t>acti ulig</t>
  </si>
  <si>
    <t>Actinobole uliginosum</t>
  </si>
  <si>
    <t>adia aeth</t>
  </si>
  <si>
    <t>Adiantum aethiopicum</t>
  </si>
  <si>
    <t>Sensitive fern</t>
  </si>
  <si>
    <t>agav amer</t>
  </si>
  <si>
    <t>Agave americana</t>
  </si>
  <si>
    <t>Disturbance-resilient or disturbance-responder grass</t>
  </si>
  <si>
    <t>agro capi</t>
  </si>
  <si>
    <t>Agrostis capillaris</t>
  </si>
  <si>
    <t>acro spa</t>
  </si>
  <si>
    <t>Agrostis sp. A</t>
  </si>
  <si>
    <t>agro venu</t>
  </si>
  <si>
    <t>Agrostis venusta</t>
  </si>
  <si>
    <t>aila alti</t>
  </si>
  <si>
    <t>Ailanthus altissima</t>
  </si>
  <si>
    <t>aira cary</t>
  </si>
  <si>
    <t>Aira caryophyllea</t>
  </si>
  <si>
    <t>aira cupa</t>
  </si>
  <si>
    <t>Aira cupaniana</t>
  </si>
  <si>
    <t>aira eleg</t>
  </si>
  <si>
    <t>Aira elegans</t>
  </si>
  <si>
    <t>Aira elegantissima</t>
  </si>
  <si>
    <t>aira</t>
  </si>
  <si>
    <t>Aira sp.</t>
  </si>
  <si>
    <t>ajug aust</t>
  </si>
  <si>
    <t>Ajuga australis</t>
  </si>
  <si>
    <t>Sensitive forb</t>
  </si>
  <si>
    <t>alec olei</t>
  </si>
  <si>
    <t>Alectryon oleifolius</t>
  </si>
  <si>
    <t>allo dimi</t>
  </si>
  <si>
    <t>Allocasuarina diminuta</t>
  </si>
  <si>
    <t>Nitrogen fixing tree or shrub (non-legume)</t>
  </si>
  <si>
    <t>allo dist</t>
  </si>
  <si>
    <t>Allocasuarina distyla</t>
  </si>
  <si>
    <t>allo litt</t>
  </si>
  <si>
    <t>Allocasuarina littoralis</t>
  </si>
  <si>
    <t>allo lueh</t>
  </si>
  <si>
    <t>Allocasuarina luehmannii</t>
  </si>
  <si>
    <t>allo sp</t>
  </si>
  <si>
    <t>Allocasuarina sp.</t>
  </si>
  <si>
    <t>allo vert</t>
  </si>
  <si>
    <t>Allocasuarina verticillata</t>
  </si>
  <si>
    <t>alte angu</t>
  </si>
  <si>
    <t>Alternanthera angustifolia</t>
  </si>
  <si>
    <t>alte dent</t>
  </si>
  <si>
    <t>Alternanthera denticulata</t>
  </si>
  <si>
    <t>alte nana</t>
  </si>
  <si>
    <t>Alternanthera nana</t>
  </si>
  <si>
    <t>alte pung</t>
  </si>
  <si>
    <t>Alternanthera pungens</t>
  </si>
  <si>
    <t>alte spA</t>
  </si>
  <si>
    <t>Alternanthera sp.A</t>
  </si>
  <si>
    <t>amar defl</t>
  </si>
  <si>
    <t>Amaranthus deflexus</t>
  </si>
  <si>
    <t>amar macr</t>
  </si>
  <si>
    <t>Amaranthus macrocarpus</t>
  </si>
  <si>
    <t>Semi-sensitive forb</t>
  </si>
  <si>
    <t>amar powe</t>
  </si>
  <si>
    <t>Amaranthus powellii</t>
  </si>
  <si>
    <t>ambr tenu</t>
  </si>
  <si>
    <t>Ambrosia tenuifolia</t>
  </si>
  <si>
    <t>ammo cras</t>
  </si>
  <si>
    <t>Ammobium craspedioides</t>
  </si>
  <si>
    <t>amph nees</t>
  </si>
  <si>
    <t>Amphibromus neesii</t>
  </si>
  <si>
    <t>amph nerv</t>
  </si>
  <si>
    <t>Amphibromus nervosus</t>
  </si>
  <si>
    <t>amph pith</t>
  </si>
  <si>
    <t>Amphibromus pithogastrus</t>
  </si>
  <si>
    <t>amphibromus</t>
  </si>
  <si>
    <t>Amphibromus sp.</t>
  </si>
  <si>
    <t>amsi inte</t>
  </si>
  <si>
    <t>Amsinckia intermedia</t>
  </si>
  <si>
    <t>amye miqu</t>
  </si>
  <si>
    <t>Amyema miquelii</t>
  </si>
  <si>
    <t>Mistletoe</t>
  </si>
  <si>
    <t>amye pend</t>
  </si>
  <si>
    <t>Amyema pendula</t>
  </si>
  <si>
    <t>amyema</t>
  </si>
  <si>
    <t>Amyema sp.</t>
  </si>
  <si>
    <t>ango flor</t>
  </si>
  <si>
    <t>Angophora floribunda</t>
  </si>
  <si>
    <t>anth plur</t>
  </si>
  <si>
    <t>Anthosachne plurinervis</t>
  </si>
  <si>
    <t>anth scab</t>
  </si>
  <si>
    <t>Anthosachne scabra</t>
  </si>
  <si>
    <t>anth odor</t>
  </si>
  <si>
    <t>apha arve</t>
  </si>
  <si>
    <t>Aphanes arvensis</t>
  </si>
  <si>
    <t>apha aust</t>
  </si>
  <si>
    <t>Aphanes australiana</t>
  </si>
  <si>
    <t>aphanes</t>
  </si>
  <si>
    <t>Aphanes sp.</t>
  </si>
  <si>
    <t>apop anom</t>
  </si>
  <si>
    <t>Apophyllum anomalum</t>
  </si>
  <si>
    <t>arco cale</t>
  </si>
  <si>
    <t>Arctotheca calendula</t>
  </si>
  <si>
    <t>aren serp</t>
  </si>
  <si>
    <t>Arenaria serpyllifolia</t>
  </si>
  <si>
    <t>aris behr</t>
  </si>
  <si>
    <t>Aristida behriana</t>
  </si>
  <si>
    <t>aris caly</t>
  </si>
  <si>
    <t>Aristida calycina</t>
  </si>
  <si>
    <t>aris capu</t>
  </si>
  <si>
    <t>Aristida caput-medusae</t>
  </si>
  <si>
    <t>aris jeri</t>
  </si>
  <si>
    <t>Aristida jerichoensis</t>
  </si>
  <si>
    <t>aris leic</t>
  </si>
  <si>
    <t>Aristida leichhardtiana</t>
  </si>
  <si>
    <t>aris pers</t>
  </si>
  <si>
    <t>Aristida personata</t>
  </si>
  <si>
    <t>aris ramo</t>
  </si>
  <si>
    <t>Aristida ramosa</t>
  </si>
  <si>
    <t>aristida</t>
  </si>
  <si>
    <t>Aristida sp.</t>
  </si>
  <si>
    <t>aris vaga</t>
  </si>
  <si>
    <t>Aristida vagans</t>
  </si>
  <si>
    <t>aris warb</t>
  </si>
  <si>
    <t>Aristida warburgii</t>
  </si>
  <si>
    <t>arrh elat</t>
  </si>
  <si>
    <t>Arrhenatherum elatius</t>
  </si>
  <si>
    <t>arrh mixt</t>
  </si>
  <si>
    <t>Arrhenechthites mixta</t>
  </si>
  <si>
    <t>arth fimb</t>
  </si>
  <si>
    <t>Arthropodium fimbriatum</t>
  </si>
  <si>
    <t>Sensitive graminoid</t>
  </si>
  <si>
    <t>arth mill</t>
  </si>
  <si>
    <t>Arthropodium milleflorum</t>
  </si>
  <si>
    <t>arth minu</t>
  </si>
  <si>
    <t>Arthropodium minus</t>
  </si>
  <si>
    <t>arth sp.a</t>
  </si>
  <si>
    <t>Arthropodium sp. A</t>
  </si>
  <si>
    <t>arth sp.b</t>
  </si>
  <si>
    <t>Arthropodium sp. B</t>
  </si>
  <si>
    <t>arth stri</t>
  </si>
  <si>
    <t>Arthropodium strictum</t>
  </si>
  <si>
    <t>aspa aspa</t>
  </si>
  <si>
    <t>Asparagus asparagoides</t>
  </si>
  <si>
    <t>aspa offi</t>
  </si>
  <si>
    <t>Asparagus officinalis</t>
  </si>
  <si>
    <t>aspe ambl</t>
  </si>
  <si>
    <t>Asperula ambleia</t>
  </si>
  <si>
    <t>aspe conf</t>
  </si>
  <si>
    <t>Asperula conferta</t>
  </si>
  <si>
    <t>aspe cunn</t>
  </si>
  <si>
    <t>Asperula cunninghamii</t>
  </si>
  <si>
    <t>aspe gunn</t>
  </si>
  <si>
    <t>Asperula gunnii</t>
  </si>
  <si>
    <t>aspe scop</t>
  </si>
  <si>
    <t>Asperula scoparia</t>
  </si>
  <si>
    <t>aspe sp</t>
  </si>
  <si>
    <t>Asperula sp.</t>
  </si>
  <si>
    <t>asph fist</t>
  </si>
  <si>
    <t>Asphodelus fistulosus</t>
  </si>
  <si>
    <t>aspl flab</t>
  </si>
  <si>
    <t>Asplenium flabellifolium</t>
  </si>
  <si>
    <t>aspl tric</t>
  </si>
  <si>
    <t>Asplenium trichomanes</t>
  </si>
  <si>
    <t>aste subu</t>
  </si>
  <si>
    <t>Aster subulatus</t>
  </si>
  <si>
    <t>astro humi</t>
  </si>
  <si>
    <t>Astroloma humifusum</t>
  </si>
  <si>
    <t>atri semi</t>
  </si>
  <si>
    <t>Atriplex semibaccata</t>
  </si>
  <si>
    <t>aust erio</t>
  </si>
  <si>
    <t>Austrofestuca eriopoda</t>
  </si>
  <si>
    <t>aust aris</t>
  </si>
  <si>
    <t>Austrostipa aristiglumis</t>
  </si>
  <si>
    <t>aust bige</t>
  </si>
  <si>
    <t>Austrostipa bigeniculata</t>
  </si>
  <si>
    <t>aust blac</t>
  </si>
  <si>
    <t>Austrostipa blackii</t>
  </si>
  <si>
    <t>aust dens</t>
  </si>
  <si>
    <t>Austrostipa densiflora</t>
  </si>
  <si>
    <t>aust drum</t>
  </si>
  <si>
    <t>Austrostipa drummondii</t>
  </si>
  <si>
    <t>aust eleg</t>
  </si>
  <si>
    <t>Austrostipa elegantissima</t>
  </si>
  <si>
    <t>aust gibb</t>
  </si>
  <si>
    <t>Austrostipa gibbosa</t>
  </si>
  <si>
    <t>aust moll</t>
  </si>
  <si>
    <t>Austrostipa mollis</t>
  </si>
  <si>
    <t>aust niti</t>
  </si>
  <si>
    <t>Austrostipa nitida</t>
  </si>
  <si>
    <t>aust nodo</t>
  </si>
  <si>
    <t>Austrostipa nodosa</t>
  </si>
  <si>
    <t>aust platy</t>
  </si>
  <si>
    <t>Austrostipa platychaeta</t>
  </si>
  <si>
    <t>aust pube</t>
  </si>
  <si>
    <t>Austrostipa puberula</t>
  </si>
  <si>
    <t>aust ramo</t>
  </si>
  <si>
    <t>Austrostipa ramosissima</t>
  </si>
  <si>
    <t>aust rudi</t>
  </si>
  <si>
    <t>Austrostipa rudis</t>
  </si>
  <si>
    <t>aust scab</t>
  </si>
  <si>
    <t>Austrostipa scabra</t>
  </si>
  <si>
    <t>stip seta</t>
  </si>
  <si>
    <t>Austrostipa setacea</t>
  </si>
  <si>
    <t>austrostipa</t>
  </si>
  <si>
    <t>Austrostipa sp.</t>
  </si>
  <si>
    <t>aust vert</t>
  </si>
  <si>
    <t>Austrostipa verticillata</t>
  </si>
  <si>
    <t>aven barb</t>
  </si>
  <si>
    <t>Avena barbata</t>
  </si>
  <si>
    <t>aven fatu</t>
  </si>
  <si>
    <t>Avena fatua</t>
  </si>
  <si>
    <t>aven ludo</t>
  </si>
  <si>
    <t>Avena ludoviciana</t>
  </si>
  <si>
    <t>avena</t>
  </si>
  <si>
    <t>Avena sp.</t>
  </si>
  <si>
    <t>aven ster</t>
  </si>
  <si>
    <t>Avena sterilis</t>
  </si>
  <si>
    <t>axon fiss</t>
  </si>
  <si>
    <t>Axonopus fissifolius</t>
  </si>
  <si>
    <t>baek cunn</t>
  </si>
  <si>
    <t>Baeckea cunninghamii</t>
  </si>
  <si>
    <t>baek util</t>
  </si>
  <si>
    <t>Baekia utilis</t>
  </si>
  <si>
    <t>bank marg</t>
  </si>
  <si>
    <t>Banksia marginata</t>
  </si>
  <si>
    <t>bart trix</t>
  </si>
  <si>
    <t>Bartsia trixago</t>
  </si>
  <si>
    <t>bert cunn</t>
  </si>
  <si>
    <t>Bertya cunninghamii</t>
  </si>
  <si>
    <t>beye visc</t>
  </si>
  <si>
    <t>Beyeria viscosa</t>
  </si>
  <si>
    <t>bide pilo</t>
  </si>
  <si>
    <t>Bidens pilosa</t>
  </si>
  <si>
    <t>bide suba</t>
  </si>
  <si>
    <t>Bidens subalternans</t>
  </si>
  <si>
    <t>bill scan</t>
  </si>
  <si>
    <t>Billardiera scandens</t>
  </si>
  <si>
    <t>blec cart</t>
  </si>
  <si>
    <t>Blechnum cartilagineum</t>
  </si>
  <si>
    <t>blec nudu</t>
  </si>
  <si>
    <t>Blechnum nudum</t>
  </si>
  <si>
    <t>boer cocc</t>
  </si>
  <si>
    <t>Boerhavia coccinea</t>
  </si>
  <si>
    <t>boer diff</t>
  </si>
  <si>
    <t>Boerhavia diffusa</t>
  </si>
  <si>
    <t>boer domi</t>
  </si>
  <si>
    <t>Boerhavia dominii</t>
  </si>
  <si>
    <t>boerhavia</t>
  </si>
  <si>
    <t>Boerhavia sp.</t>
  </si>
  <si>
    <t>boro nana</t>
  </si>
  <si>
    <t>Boronia nana</t>
  </si>
  <si>
    <t>boss buxi</t>
  </si>
  <si>
    <t>Bossiaea buxifolia</t>
  </si>
  <si>
    <t>boss foli</t>
  </si>
  <si>
    <t>Bossiaea foliosa</t>
  </si>
  <si>
    <t>boss hete</t>
  </si>
  <si>
    <t>Bossiaea heterophylla</t>
  </si>
  <si>
    <t>boss neoa</t>
  </si>
  <si>
    <t>Bossiaea neo-anglica</t>
  </si>
  <si>
    <t>boss pros</t>
  </si>
  <si>
    <t>Bossiaea prostrata</t>
  </si>
  <si>
    <t>boss rhom</t>
  </si>
  <si>
    <t>Bossiaea rhombifolia</t>
  </si>
  <si>
    <t>bossiaea</t>
  </si>
  <si>
    <t>Bossiaea sp.</t>
  </si>
  <si>
    <t>both bilo</t>
  </si>
  <si>
    <t>Bothriochloa biloba</t>
  </si>
  <si>
    <t>C4 grass</t>
  </si>
  <si>
    <t>both deci</t>
  </si>
  <si>
    <t>Bothriochloa decipiens</t>
  </si>
  <si>
    <t>both macr</t>
  </si>
  <si>
    <t xml:space="preserve">Bothriochloa macra </t>
  </si>
  <si>
    <t>brac popu</t>
  </si>
  <si>
    <t>Brachychiton populneus</t>
  </si>
  <si>
    <t>brac daph</t>
  </si>
  <si>
    <t>Brachyloma daphnoides</t>
  </si>
  <si>
    <t>brac dist</t>
  </si>
  <si>
    <t>Brachypodium distachyon</t>
  </si>
  <si>
    <t>brac acul</t>
  </si>
  <si>
    <t>Brachyscome aculeata</t>
  </si>
  <si>
    <t>brac basa</t>
  </si>
  <si>
    <t>Brachyscome basaltica</t>
  </si>
  <si>
    <t>brac chry</t>
  </si>
  <si>
    <t>Brachyscome chrysoglossa</t>
  </si>
  <si>
    <t>brac dent</t>
  </si>
  <si>
    <t>Brachyscome dentata</t>
  </si>
  <si>
    <t>brac dive</t>
  </si>
  <si>
    <t>Brachyscome diversifolia</t>
  </si>
  <si>
    <t>brac form</t>
  </si>
  <si>
    <t>Brachyscome formosa</t>
  </si>
  <si>
    <t>brac grac</t>
  </si>
  <si>
    <t>Brachyscome gracilis</t>
  </si>
  <si>
    <t>brac gram</t>
  </si>
  <si>
    <t>Brachyscome graminea</t>
  </si>
  <si>
    <t>brac hete</t>
  </si>
  <si>
    <t>Brachyscome heterodonta</t>
  </si>
  <si>
    <t>brac mela</t>
  </si>
  <si>
    <t>Brachyscome melanocarpa</t>
  </si>
  <si>
    <t>brac micr</t>
  </si>
  <si>
    <t>Brachyscome microcarpa</t>
  </si>
  <si>
    <t>brac muel</t>
  </si>
  <si>
    <t>Brachyscome muelleroides</t>
  </si>
  <si>
    <t>brac mult</t>
  </si>
  <si>
    <t>Brachyscome multifida</t>
  </si>
  <si>
    <t>brac perp</t>
  </si>
  <si>
    <t>Brachyscome perpusilla</t>
  </si>
  <si>
    <t>brac rigi</t>
  </si>
  <si>
    <t>Brachyscome rigidula</t>
  </si>
  <si>
    <t>brachyscome</t>
  </si>
  <si>
    <t>Brachyscome sp.</t>
  </si>
  <si>
    <t>brac spath</t>
  </si>
  <si>
    <t>Brachyscome spathulata</t>
  </si>
  <si>
    <t>brac will</t>
  </si>
  <si>
    <t>Brachyscome willisii</t>
  </si>
  <si>
    <t>bras nap</t>
  </si>
  <si>
    <t>Brassica napus</t>
  </si>
  <si>
    <t>bras nigr</t>
  </si>
  <si>
    <t>Brassica nigra</t>
  </si>
  <si>
    <t>briz maxi</t>
  </si>
  <si>
    <t>Briza maxima</t>
  </si>
  <si>
    <t>briz mino</t>
  </si>
  <si>
    <t>Briza minor</t>
  </si>
  <si>
    <t>briza</t>
  </si>
  <si>
    <t>Briza sp.</t>
  </si>
  <si>
    <t>brom alop</t>
  </si>
  <si>
    <t>Bromus alopecuros</t>
  </si>
  <si>
    <t>brom aren</t>
  </si>
  <si>
    <t>Bromus arenarius</t>
  </si>
  <si>
    <t>brom cath</t>
  </si>
  <si>
    <t>Bromus catharticus</t>
  </si>
  <si>
    <t>brom dian</t>
  </si>
  <si>
    <t>Bromus diandrus</t>
  </si>
  <si>
    <t>brom hord</t>
  </si>
  <si>
    <t>Bromus hordeaceus</t>
  </si>
  <si>
    <t>brom moll</t>
  </si>
  <si>
    <t>Bromus molliformis</t>
  </si>
  <si>
    <t>brom molu</t>
  </si>
  <si>
    <t>Bromus mollis</t>
  </si>
  <si>
    <t>brom rube</t>
  </si>
  <si>
    <t>Bromus rubens</t>
  </si>
  <si>
    <t>bromus</t>
  </si>
  <si>
    <t>Bromus sp.</t>
  </si>
  <si>
    <t>brom ster</t>
  </si>
  <si>
    <t>Bromus sterilis</t>
  </si>
  <si>
    <t>brom tect</t>
  </si>
  <si>
    <t>Bromus tectorum</t>
  </si>
  <si>
    <t>brunonia australis</t>
  </si>
  <si>
    <t>Brunonia australis</t>
  </si>
  <si>
    <t>brunoniella australis</t>
  </si>
  <si>
    <t>Brunoniella australis</t>
  </si>
  <si>
    <t>bulb bulb</t>
  </si>
  <si>
    <t>Bulbine bulbosa</t>
  </si>
  <si>
    <t>bulb glau</t>
  </si>
  <si>
    <t>Bulbine glauca</t>
  </si>
  <si>
    <t>bulb semi</t>
  </si>
  <si>
    <t>Bulbine semibarbata</t>
  </si>
  <si>
    <t>bulbine</t>
  </si>
  <si>
    <t>Bulbine sp.</t>
  </si>
  <si>
    <t>burc umbe</t>
  </si>
  <si>
    <t>Burchardia umbellata</t>
  </si>
  <si>
    <t>burs lasi</t>
  </si>
  <si>
    <t>Bursaria lasiophylla</t>
  </si>
  <si>
    <t>burs long</t>
  </si>
  <si>
    <t>Bursaria longisepala</t>
  </si>
  <si>
    <t>bursaria</t>
  </si>
  <si>
    <t>Bursaria sp.</t>
  </si>
  <si>
    <t>burs spin</t>
  </si>
  <si>
    <t>Bursaria spinosa</t>
  </si>
  <si>
    <t>caes calli</t>
  </si>
  <si>
    <t>Caesia calliantha</t>
  </si>
  <si>
    <t>caes parv</t>
  </si>
  <si>
    <t>Caesia parviflora</t>
  </si>
  <si>
    <t>cala carn</t>
  </si>
  <si>
    <t>Caladenia carnea</t>
  </si>
  <si>
    <t>Sensitive orchid</t>
  </si>
  <si>
    <t>cala conc</t>
  </si>
  <si>
    <t>Caladenia concolor</t>
  </si>
  <si>
    <t>cala dila</t>
  </si>
  <si>
    <t>Caladenia dilatata</t>
  </si>
  <si>
    <t>cala fusc</t>
  </si>
  <si>
    <t>Caladenia fuscata</t>
  </si>
  <si>
    <t>cala grac</t>
  </si>
  <si>
    <t>Caladenia gracilis</t>
  </si>
  <si>
    <t>cala tent</t>
  </si>
  <si>
    <t>Caladenia tentaculata</t>
  </si>
  <si>
    <t>cale mino</t>
  </si>
  <si>
    <t>Caleana minor</t>
  </si>
  <si>
    <t>call sieb</t>
  </si>
  <si>
    <t>Callistemon sieberi</t>
  </si>
  <si>
    <t>call vimi</t>
  </si>
  <si>
    <t>Callistemon viminalis</t>
  </si>
  <si>
    <t>call endl</t>
  </si>
  <si>
    <t>Callitris endlicheri</t>
  </si>
  <si>
    <t>call glau</t>
  </si>
  <si>
    <t>Callitris glaucophylla</t>
  </si>
  <si>
    <t>calo citr</t>
  </si>
  <si>
    <t>Calocephalus citreus</t>
  </si>
  <si>
    <t>calo sond</t>
  </si>
  <si>
    <t>Calocephalus sonderi</t>
  </si>
  <si>
    <t>calo robe</t>
  </si>
  <si>
    <t>Calochilus robertsonii</t>
  </si>
  <si>
    <t>calo anth</t>
  </si>
  <si>
    <t>Calotis anthemoides</t>
  </si>
  <si>
    <t>calotis cuneata</t>
  </si>
  <si>
    <t>Calotis cuneata</t>
  </si>
  <si>
    <t>calotis cuneifolia</t>
  </si>
  <si>
    <t>Calotis cuneifolia</t>
  </si>
  <si>
    <t>calo hisp</t>
  </si>
  <si>
    <t>Calotis hispidula</t>
  </si>
  <si>
    <t>calo lapp</t>
  </si>
  <si>
    <t>Calotis lappulacea</t>
  </si>
  <si>
    <t>calo scab</t>
  </si>
  <si>
    <t>Calotis scabiosifolia</t>
  </si>
  <si>
    <t>calo scap</t>
  </si>
  <si>
    <t>Calotis scapigera</t>
  </si>
  <si>
    <t>calotis</t>
  </si>
  <si>
    <t>Calotis sp</t>
  </si>
  <si>
    <t>caly sepi</t>
  </si>
  <si>
    <t>Calystegia sepium</t>
  </si>
  <si>
    <t>caly tetr</t>
  </si>
  <si>
    <t>Calytrix tetragona</t>
  </si>
  <si>
    <t>caps burs</t>
  </si>
  <si>
    <t>Capsella bursa-pastoris</t>
  </si>
  <si>
    <t>card micr</t>
  </si>
  <si>
    <t>Cardamine microthrix</t>
  </si>
  <si>
    <t>card pauc</t>
  </si>
  <si>
    <t>Cardamine paucijuga</t>
  </si>
  <si>
    <t>card grand</t>
  </si>
  <si>
    <t>Cardiospermum grandiflorum</t>
  </si>
  <si>
    <t>card nuta</t>
  </si>
  <si>
    <t>Carduus nutans</t>
  </si>
  <si>
    <t>card pycn</t>
  </si>
  <si>
    <t>Carduus pycnocephalus</t>
  </si>
  <si>
    <t>card tenu</t>
  </si>
  <si>
    <t>Carduus tenuiflorus</t>
  </si>
  <si>
    <t>care appr</t>
  </si>
  <si>
    <t>Carex appressa</t>
  </si>
  <si>
    <t>Disturbance-resilient or disturbance-responder graminoid</t>
  </si>
  <si>
    <t>care bich</t>
  </si>
  <si>
    <t>Carex bichenoviana</t>
  </si>
  <si>
    <t>care brev</t>
  </si>
  <si>
    <t>Carex breviculmis</t>
  </si>
  <si>
    <t>care fasc</t>
  </si>
  <si>
    <t>Carex fascicularis</t>
  </si>
  <si>
    <t>care gaud</t>
  </si>
  <si>
    <t>Carex gaudichaudiana</t>
  </si>
  <si>
    <t>car inco</t>
  </si>
  <si>
    <t>Carex incomitata</t>
  </si>
  <si>
    <t>care inve</t>
  </si>
  <si>
    <t>Carex inversa</t>
  </si>
  <si>
    <t>carex</t>
  </si>
  <si>
    <t>Carex sp.</t>
  </si>
  <si>
    <t>care tere</t>
  </si>
  <si>
    <t>Carex tereticaulis</t>
  </si>
  <si>
    <t>carr annu</t>
  </si>
  <si>
    <t>Carrichtera annua</t>
  </si>
  <si>
    <t>cart lana</t>
  </si>
  <si>
    <t>Carthamus lanatus</t>
  </si>
  <si>
    <t>carthamus</t>
  </si>
  <si>
    <t>Carthamus sp.</t>
  </si>
  <si>
    <t>cass acul</t>
  </si>
  <si>
    <t xml:space="preserve">Cassinia aculeata </t>
  </si>
  <si>
    <t>cass adun</t>
  </si>
  <si>
    <t>Cassinia adunca</t>
  </si>
  <si>
    <t>cass arcu</t>
  </si>
  <si>
    <t>Cassinia arcuata</t>
  </si>
  <si>
    <t>cass cune</t>
  </si>
  <si>
    <t>Cassinia cuneata</t>
  </si>
  <si>
    <t>cass cunn</t>
  </si>
  <si>
    <t>Cassinia cunninghamii</t>
  </si>
  <si>
    <t>cass laev</t>
  </si>
  <si>
    <t>Cassinia laevis</t>
  </si>
  <si>
    <t>cass long</t>
  </si>
  <si>
    <t>Cassinia longifolia</t>
  </si>
  <si>
    <t>cass quin</t>
  </si>
  <si>
    <t>Cassinia quinquefaria</t>
  </si>
  <si>
    <t>cassinia</t>
  </si>
  <si>
    <t>Cassinia sp.</t>
  </si>
  <si>
    <t>cass unci</t>
  </si>
  <si>
    <t>Cassinia uncata</t>
  </si>
  <si>
    <t>cass glab</t>
  </si>
  <si>
    <t>Cassytha glabella</t>
  </si>
  <si>
    <t>cass pube</t>
  </si>
  <si>
    <t>Cassytha pubescens</t>
  </si>
  <si>
    <t>casu cunn</t>
  </si>
  <si>
    <t>Casuarina cunninghamiana</t>
  </si>
  <si>
    <t>caus flex</t>
  </si>
  <si>
    <t>Caustis flexuosa</t>
  </si>
  <si>
    <t>celt aust</t>
  </si>
  <si>
    <t>Celtis australis</t>
  </si>
  <si>
    <t>celt occi</t>
  </si>
  <si>
    <t>Celtis occidentalis</t>
  </si>
  <si>
    <t>cenc cali</t>
  </si>
  <si>
    <t>Cenchrus caliculatus</t>
  </si>
  <si>
    <t>cenc cili</t>
  </si>
  <si>
    <t>Cenchrus ciliaris</t>
  </si>
  <si>
    <t>cenc long</t>
  </si>
  <si>
    <t>Cenchrus longispinus</t>
  </si>
  <si>
    <t>cent meli</t>
  </si>
  <si>
    <t>Centaurea melitensis</t>
  </si>
  <si>
    <t>cent sols</t>
  </si>
  <si>
    <t>Centaurea solstitialis</t>
  </si>
  <si>
    <t>cent eryt</t>
  </si>
  <si>
    <t>Centaurium erythraea</t>
  </si>
  <si>
    <t>centaurium</t>
  </si>
  <si>
    <t>Centaurium sp.</t>
  </si>
  <si>
    <t>cent tenu</t>
  </si>
  <si>
    <t>Centaurium tenuiflorum</t>
  </si>
  <si>
    <t>cent asia</t>
  </si>
  <si>
    <t>Centella asiatica</t>
  </si>
  <si>
    <t>cent cunn</t>
  </si>
  <si>
    <t>Centipeda cunninghamii</t>
  </si>
  <si>
    <t>cent mini</t>
  </si>
  <si>
    <t>Centipeda minima</t>
  </si>
  <si>
    <t>centipeda</t>
  </si>
  <si>
    <t>Centipida sp.</t>
  </si>
  <si>
    <t>cent aris</t>
  </si>
  <si>
    <t>Centrolepis aristata</t>
  </si>
  <si>
    <t>cent fasc</t>
  </si>
  <si>
    <t>Centrolepis fascicularis</t>
  </si>
  <si>
    <t>cent stri</t>
  </si>
  <si>
    <t>Centrolepis strigosa</t>
  </si>
  <si>
    <t>cera font</t>
  </si>
  <si>
    <t>Cerastium fontanum</t>
  </si>
  <si>
    <t>cera glom</t>
  </si>
  <si>
    <t xml:space="preserve">Cerastium glomeratum </t>
  </si>
  <si>
    <t>cerastium</t>
  </si>
  <si>
    <t>Cerastium sp.</t>
  </si>
  <si>
    <t>cham palm</t>
  </si>
  <si>
    <t>Chamaecytisus palmensis</t>
  </si>
  <si>
    <t>chei aust</t>
  </si>
  <si>
    <t>Cheilanthes austrotenuifolia</t>
  </si>
  <si>
    <t>Semi-sensitive fern</t>
  </si>
  <si>
    <t>chei dist</t>
  </si>
  <si>
    <t>Cheilanthes distans</t>
  </si>
  <si>
    <t>chei lasi</t>
  </si>
  <si>
    <t>Cheilanthes lasiophylla</t>
  </si>
  <si>
    <t>chei sieb</t>
  </si>
  <si>
    <t>cheilanthes</t>
  </si>
  <si>
    <t>Cheilanthes sp.</t>
  </si>
  <si>
    <t>chei cyan</t>
  </si>
  <si>
    <t>Cheiranthera cyanea</t>
  </si>
  <si>
    <t>chen albu</t>
  </si>
  <si>
    <t>Chenopodium album</t>
  </si>
  <si>
    <t>chen cari</t>
  </si>
  <si>
    <t>Chenopodium carinatum</t>
  </si>
  <si>
    <t>chen dese dese</t>
  </si>
  <si>
    <t>Chenopodium desertorum</t>
  </si>
  <si>
    <t>chen mela</t>
  </si>
  <si>
    <t>Chenopodium melanocarpum</t>
  </si>
  <si>
    <t>chen nitr</t>
  </si>
  <si>
    <t>Chenopodium nitrariaceum</t>
  </si>
  <si>
    <t>chenopodium</t>
  </si>
  <si>
    <t>Chenopodium sp.</t>
  </si>
  <si>
    <t>chil trap</t>
  </si>
  <si>
    <t>Chiloglottis trapeziformis</t>
  </si>
  <si>
    <t>chlo trun</t>
  </si>
  <si>
    <t>Chloris truncata</t>
  </si>
  <si>
    <t>chlo vent</t>
  </si>
  <si>
    <t>Chloris ventricosa</t>
  </si>
  <si>
    <t>chon junc</t>
  </si>
  <si>
    <t>Chondrilla juncea</t>
  </si>
  <si>
    <t>chry coro</t>
  </si>
  <si>
    <t>Chrysanthemum coronarium</t>
  </si>
  <si>
    <t>Chrysocephalum apiculatum</t>
  </si>
  <si>
    <t>chry semi</t>
  </si>
  <si>
    <t>Chrysocephalum semipapposum</t>
  </si>
  <si>
    <t>chrysocephalum</t>
  </si>
  <si>
    <t>Chrysocephalum sp.</t>
  </si>
  <si>
    <t>cice quad</t>
  </si>
  <si>
    <t>Cicendia quadrangularis</t>
  </si>
  <si>
    <t>cich inty</t>
  </si>
  <si>
    <t>Cichorium intybus</t>
  </si>
  <si>
    <t>cicl lept</t>
  </si>
  <si>
    <t>Ciclospermum leptophyllum</t>
  </si>
  <si>
    <t>cine lyra</t>
  </si>
  <si>
    <t>Cineraria lyratiformis</t>
  </si>
  <si>
    <t>cirs vulg</t>
  </si>
  <si>
    <t>Cirsium vulgare</t>
  </si>
  <si>
    <t>citr lana</t>
  </si>
  <si>
    <t>Citrullus lanatus</t>
  </si>
  <si>
    <t>clei rigi</t>
  </si>
  <si>
    <t>Cleistochloa rigida</t>
  </si>
  <si>
    <t>clem aris</t>
  </si>
  <si>
    <t>Clematis aristata</t>
  </si>
  <si>
    <t>clem glyc</t>
  </si>
  <si>
    <t>Clematis glycinoides</t>
  </si>
  <si>
    <t>clem micr</t>
  </si>
  <si>
    <t>Clematis microphylla</t>
  </si>
  <si>
    <t>comm cyan</t>
  </si>
  <si>
    <t>Commelina cyanea</t>
  </si>
  <si>
    <t>coni macy</t>
  </si>
  <si>
    <t>Conium maculatum</t>
  </si>
  <si>
    <t>conv angu</t>
  </si>
  <si>
    <t>Convolvulus angustissimus</t>
  </si>
  <si>
    <t>conv arve</t>
  </si>
  <si>
    <t>Convolvulus arvensis</t>
  </si>
  <si>
    <t>conv clem</t>
  </si>
  <si>
    <t>Convolvulus clementii</t>
  </si>
  <si>
    <t>cony albi</t>
  </si>
  <si>
    <t>Conyza albida</t>
  </si>
  <si>
    <t>cony bona</t>
  </si>
  <si>
    <t>Conyza bonariensis</t>
  </si>
  <si>
    <t>cony cana</t>
  </si>
  <si>
    <t>Conyza canadensis</t>
  </si>
  <si>
    <t>cpny parv</t>
  </si>
  <si>
    <t>Conyza parva</t>
  </si>
  <si>
    <t>conyza</t>
  </si>
  <si>
    <t>Conyza sp.</t>
  </si>
  <si>
    <t>cony suma</t>
  </si>
  <si>
    <t>Conyza sumatrensis</t>
  </si>
  <si>
    <t>coro scor</t>
  </si>
  <si>
    <t>Coronidium scorpioides</t>
  </si>
  <si>
    <t>corr refl</t>
  </si>
  <si>
    <t>Correa reflexa</t>
  </si>
  <si>
    <t>coto fran</t>
  </si>
  <si>
    <t>Cotoneaster franchetii</t>
  </si>
  <si>
    <t>coto glau</t>
  </si>
  <si>
    <t>Cotoneaster glaucophyllus</t>
  </si>
  <si>
    <t>coto pann</t>
  </si>
  <si>
    <t>Cotoneaster pannosus</t>
  </si>
  <si>
    <t>cotoneaster</t>
  </si>
  <si>
    <t>Cotoneaster sp.</t>
  </si>
  <si>
    <t>cotu aust</t>
  </si>
  <si>
    <t>Cotula australis</t>
  </si>
  <si>
    <t>cotu coro</t>
  </si>
  <si>
    <t>Cotula coronopifolia</t>
  </si>
  <si>
    <t>cras cane</t>
  </si>
  <si>
    <t>Craspedia canens</t>
  </si>
  <si>
    <t>cras chry</t>
  </si>
  <si>
    <t>Craspedia chrysantha</t>
  </si>
  <si>
    <t>cras palu</t>
  </si>
  <si>
    <t>Craspedia paludicola</t>
  </si>
  <si>
    <t>craspedia</t>
  </si>
  <si>
    <t>Craspedia sp.</t>
  </si>
  <si>
    <t>cras vari</t>
  </si>
  <si>
    <t>Craspedia variabilis</t>
  </si>
  <si>
    <t>cras coll</t>
  </si>
  <si>
    <t>Crassula colligata</t>
  </si>
  <si>
    <t>cras decu</t>
  </si>
  <si>
    <t>Crassula decumbens</t>
  </si>
  <si>
    <t>cras helm</t>
  </si>
  <si>
    <t>Crassula helmsii</t>
  </si>
  <si>
    <t>cras pedu</t>
  </si>
  <si>
    <t>Crassula peduncularis</t>
  </si>
  <si>
    <t>cras sieb</t>
  </si>
  <si>
    <t>Crassula sieberiana</t>
  </si>
  <si>
    <t>crassula</t>
  </si>
  <si>
    <t>Crassula spp.</t>
  </si>
  <si>
    <t>crat mono</t>
  </si>
  <si>
    <t>Crataegus monogyna</t>
  </si>
  <si>
    <t>crep capi</t>
  </si>
  <si>
    <t>Crepis capillaris</t>
  </si>
  <si>
    <t>crep foet</t>
  </si>
  <si>
    <t>Crepis foetida</t>
  </si>
  <si>
    <t>crepis</t>
  </si>
  <si>
    <t>Crepis sp.</t>
  </si>
  <si>
    <t>cres cret</t>
  </si>
  <si>
    <t>Cressa cretica</t>
  </si>
  <si>
    <t>crin flacc</t>
  </si>
  <si>
    <t>Crinum flaccidum</t>
  </si>
  <si>
    <t>cryp amar</t>
  </si>
  <si>
    <t>Cryptandra amara</t>
  </si>
  <si>
    <t>cucu myri</t>
  </si>
  <si>
    <t>Cucumis myriocarpus</t>
  </si>
  <si>
    <t>cull micr</t>
  </si>
  <si>
    <t>Cullen microcephalum</t>
  </si>
  <si>
    <t>cull parv</t>
  </si>
  <si>
    <t>Cullen parvum</t>
  </si>
  <si>
    <t>cullen</t>
  </si>
  <si>
    <t>Cullen sp.</t>
  </si>
  <si>
    <t>cull tena</t>
  </si>
  <si>
    <t>Cullen tenax</t>
  </si>
  <si>
    <t>cuph humi</t>
  </si>
  <si>
    <t>Cuphonotus humistratus</t>
  </si>
  <si>
    <t>cupr ariz</t>
  </si>
  <si>
    <t>Cupressus arizonica</t>
  </si>
  <si>
    <t>cyan cine</t>
  </si>
  <si>
    <t>Cyanthillium cinereum</t>
  </si>
  <si>
    <t>cycl lept</t>
  </si>
  <si>
    <t>Cyclospermum leptophyllum</t>
  </si>
  <si>
    <t>cydo oblo</t>
  </si>
  <si>
    <t>Cydonia oblonga</t>
  </si>
  <si>
    <t>cyli imbr</t>
  </si>
  <si>
    <t>Cylindropuntia imbricata</t>
  </si>
  <si>
    <t>cymb laws</t>
  </si>
  <si>
    <t>Cymbonotus lawsonianus</t>
  </si>
  <si>
    <t>cymb prei</t>
  </si>
  <si>
    <t>Cymbonotus preissianus</t>
  </si>
  <si>
    <t>cymbonotus</t>
  </si>
  <si>
    <t>Cymbonotus sp.</t>
  </si>
  <si>
    <t>cymb obte</t>
  </si>
  <si>
    <t>Cymbopogon obtectus</t>
  </si>
  <si>
    <t>cymb refr</t>
  </si>
  <si>
    <t>Cymbopogon refractus</t>
  </si>
  <si>
    <t>cyno dact</t>
  </si>
  <si>
    <t>Cynodon dactylon</t>
  </si>
  <si>
    <t>cyno echi</t>
  </si>
  <si>
    <t>Cynosurus echinatus</t>
  </si>
  <si>
    <t>cype erag</t>
  </si>
  <si>
    <t>Cyperus eragrostis</t>
  </si>
  <si>
    <t>cype grac</t>
  </si>
  <si>
    <t>Cyperus gracilis</t>
  </si>
  <si>
    <t>cype gunn</t>
  </si>
  <si>
    <t>Cyperus gunnii</t>
  </si>
  <si>
    <t>cype luci</t>
  </si>
  <si>
    <t>Cyperus lucidus</t>
  </si>
  <si>
    <t>cype sang</t>
  </si>
  <si>
    <t>Cyperus sanguinolentus</t>
  </si>
  <si>
    <t>cype spe</t>
  </si>
  <si>
    <t>Cyperus sp. (exotic species)</t>
  </si>
  <si>
    <t>cype spn</t>
  </si>
  <si>
    <t>Cyperus sp. (native species)</t>
  </si>
  <si>
    <t>cype spha</t>
  </si>
  <si>
    <t>Cyperus sphaeroideus</t>
  </si>
  <si>
    <t>cyti scop</t>
  </si>
  <si>
    <t>Cytisus scoparius</t>
  </si>
  <si>
    <t>dact glom</t>
  </si>
  <si>
    <t>Dactylis glomerata</t>
  </si>
  <si>
    <t>dauc gloc</t>
  </si>
  <si>
    <t>Daucus glochidiatus</t>
  </si>
  <si>
    <t>davi beth</t>
  </si>
  <si>
    <t>Daviesia benthamii</t>
  </si>
  <si>
    <t>davi geni</t>
  </si>
  <si>
    <t>Daviesia genistifolia</t>
  </si>
  <si>
    <t>davi lati</t>
  </si>
  <si>
    <t>Daviesia latifolia</t>
  </si>
  <si>
    <t>davi lept</t>
  </si>
  <si>
    <t>Daviesia leptophylla</t>
  </si>
  <si>
    <t>davi mimo</t>
  </si>
  <si>
    <t>Daviesia mimosoides</t>
  </si>
  <si>
    <t>davi pubi</t>
  </si>
  <si>
    <t>Daviesia pubigera</t>
  </si>
  <si>
    <t>daviesia</t>
  </si>
  <si>
    <t>Daviesia sp.</t>
  </si>
  <si>
    <t>davi virg</t>
  </si>
  <si>
    <t>Daviesia virgata</t>
  </si>
  <si>
    <t>dend glab</t>
  </si>
  <si>
    <t>Dendrophthoe glabrescens</t>
  </si>
  <si>
    <t>deye quad</t>
  </si>
  <si>
    <t>Deyeuxia quadriseta</t>
  </si>
  <si>
    <t>Semi-sensitive grass</t>
  </si>
  <si>
    <t>dian caer</t>
  </si>
  <si>
    <t>Dianella caerulea</t>
  </si>
  <si>
    <t>dian long</t>
  </si>
  <si>
    <t>Dianella longifolia</t>
  </si>
  <si>
    <t>dian porr</t>
  </si>
  <si>
    <t>Dianella porracea</t>
  </si>
  <si>
    <t>dian prun</t>
  </si>
  <si>
    <t>Dianella prunina</t>
  </si>
  <si>
    <t>dian revo</t>
  </si>
  <si>
    <t>Dianella revoluta</t>
  </si>
  <si>
    <t>dianella</t>
  </si>
  <si>
    <t>Dianella sp.</t>
  </si>
  <si>
    <t>dian tasm</t>
  </si>
  <si>
    <t>Dianella tasmanica</t>
  </si>
  <si>
    <t>dian arme</t>
  </si>
  <si>
    <t>Dianthus armeria</t>
  </si>
  <si>
    <t>dich seri</t>
  </si>
  <si>
    <t>Dichanthium sericeum</t>
  </si>
  <si>
    <t>dich hirt</t>
  </si>
  <si>
    <t>Dichelachne hirtella</t>
  </si>
  <si>
    <t>dich inae</t>
  </si>
  <si>
    <t>Dichelachne inaequiglumis</t>
  </si>
  <si>
    <t>dich micr</t>
  </si>
  <si>
    <t>Dichelachne micrantha</t>
  </si>
  <si>
    <t>dich parv</t>
  </si>
  <si>
    <t>Dichelachne parva</t>
  </si>
  <si>
    <t>dich rara</t>
  </si>
  <si>
    <t>Dichelachne rara</t>
  </si>
  <si>
    <t>dich sieb</t>
  </si>
  <si>
    <t>Dichelachne sieberiana</t>
  </si>
  <si>
    <t>dichelachne</t>
  </si>
  <si>
    <t>Dichelachne sp.</t>
  </si>
  <si>
    <t>dich repe</t>
  </si>
  <si>
    <t>Dichondra repens</t>
  </si>
  <si>
    <t>dichondra</t>
  </si>
  <si>
    <t>Dichondra sp.</t>
  </si>
  <si>
    <t>dich spA</t>
  </si>
  <si>
    <t>Dichondra sp.A</t>
  </si>
  <si>
    <t>digi ammo</t>
  </si>
  <si>
    <t>Digitaria ammophila</t>
  </si>
  <si>
    <t>digi brev</t>
  </si>
  <si>
    <t>Digitaria breviglumis</t>
  </si>
  <si>
    <t>digi brow</t>
  </si>
  <si>
    <t>Digitaria brownii</t>
  </si>
  <si>
    <t>digi cili</t>
  </si>
  <si>
    <t>Digitaria ciliaris</t>
  </si>
  <si>
    <t>digi diff</t>
  </si>
  <si>
    <t>Digitaria diffusa</t>
  </si>
  <si>
    <t>digi diva</t>
  </si>
  <si>
    <t>Digitaria divaricatissima</t>
  </si>
  <si>
    <t>digi parv</t>
  </si>
  <si>
    <t>Digitaria parviflora</t>
  </si>
  <si>
    <t>digi ramu</t>
  </si>
  <si>
    <t>Digitaria ramularis</t>
  </si>
  <si>
    <t>digi sang</t>
  </si>
  <si>
    <t>Digitaria sanguinalis</t>
  </si>
  <si>
    <t>digi spe</t>
  </si>
  <si>
    <t>Digitaria sp. (exotic species)</t>
  </si>
  <si>
    <t>digi spn</t>
  </si>
  <si>
    <t>Digitaria sp. (native species)</t>
  </si>
  <si>
    <t>dill cine</t>
  </si>
  <si>
    <t>Dillwynia cinerascens</t>
  </si>
  <si>
    <t>dill phyl</t>
  </si>
  <si>
    <t>Dillwynia phylicoides</t>
  </si>
  <si>
    <t>dill reto</t>
  </si>
  <si>
    <t>Dillwynia retorta</t>
  </si>
  <si>
    <t>dill seri</t>
  </si>
  <si>
    <t>Dillwynia sericea</t>
  </si>
  <si>
    <t>dill sieb</t>
  </si>
  <si>
    <t>Dillwynia sieberi</t>
  </si>
  <si>
    <t>dillwynia</t>
  </si>
  <si>
    <t>Dillwynia sp.</t>
  </si>
  <si>
    <t>dipo punc</t>
  </si>
  <si>
    <t>Dipodium punctatum</t>
  </si>
  <si>
    <t>dipo rose</t>
  </si>
  <si>
    <t>Dipodium roseum</t>
  </si>
  <si>
    <t>disc pube</t>
  </si>
  <si>
    <t>Discaria pubescens</t>
  </si>
  <si>
    <t>diur behr</t>
  </si>
  <si>
    <t>Diuris behrii</t>
  </si>
  <si>
    <t>diur call</t>
  </si>
  <si>
    <t>Diuris callitrophila</t>
  </si>
  <si>
    <t>diur chry</t>
  </si>
  <si>
    <t>Diuris chryseopsis</t>
  </si>
  <si>
    <t>diur dend</t>
  </si>
  <si>
    <t>Diuris dendrobioides</t>
  </si>
  <si>
    <t>diur sulp</t>
  </si>
  <si>
    <t>Diuris punctata</t>
  </si>
  <si>
    <t>diur semi</t>
  </si>
  <si>
    <t>Diuris semilunulata</t>
  </si>
  <si>
    <t>diuris</t>
  </si>
  <si>
    <t>Diuris sp.</t>
  </si>
  <si>
    <t>Diuris sulphurea</t>
  </si>
  <si>
    <t>dodo boro</t>
  </si>
  <si>
    <t>Dodonaea boroniifolia</t>
  </si>
  <si>
    <t>dodo cune</t>
  </si>
  <si>
    <t>Dodonaea cuneata</t>
  </si>
  <si>
    <t>dodo sinu</t>
  </si>
  <si>
    <t>Dodonaea sinuolata</t>
  </si>
  <si>
    <t>dodonaea</t>
  </si>
  <si>
    <t>Dodonaea sp.</t>
  </si>
  <si>
    <t>dodo visc</t>
  </si>
  <si>
    <t>Dodonaea viscosa</t>
  </si>
  <si>
    <t>dros glan</t>
  </si>
  <si>
    <t>Drosera glanduligera</t>
  </si>
  <si>
    <t>dros pelt</t>
  </si>
  <si>
    <t>Drosera peltata</t>
  </si>
  <si>
    <t>dysp pumi</t>
  </si>
  <si>
    <t>Dysphania pumilio</t>
  </si>
  <si>
    <t>echi crus</t>
  </si>
  <si>
    <t>Echinochloa crus-galli</t>
  </si>
  <si>
    <t>echi caes</t>
  </si>
  <si>
    <t>Echinopogon caespitosus</t>
  </si>
  <si>
    <t>echi chee</t>
  </si>
  <si>
    <t>Echinopogon cheelii</t>
  </si>
  <si>
    <t>echi inte</t>
  </si>
  <si>
    <t>Echinopogon intermedius</t>
  </si>
  <si>
    <t>echi mcki</t>
  </si>
  <si>
    <t>Echinopogon mckiei</t>
  </si>
  <si>
    <t>echi nuta</t>
  </si>
  <si>
    <t>Echinopogon nutans</t>
  </si>
  <si>
    <t>echi ovat</t>
  </si>
  <si>
    <t>Echinopogon ovatus</t>
  </si>
  <si>
    <t>echinopogon</t>
  </si>
  <si>
    <t>Echinopogon sp.</t>
  </si>
  <si>
    <t>echi plan</t>
  </si>
  <si>
    <t>Echium plantagineum</t>
  </si>
  <si>
    <t>echium</t>
  </si>
  <si>
    <t>Echium sp.</t>
  </si>
  <si>
    <t>echi vulg</t>
  </si>
  <si>
    <t>Echium vulgare</t>
  </si>
  <si>
    <t>ehrh caly</t>
  </si>
  <si>
    <t>Ehrharta calycina</t>
  </si>
  <si>
    <t>ehrh erec</t>
  </si>
  <si>
    <t>Ehrharta erecta</t>
  </si>
  <si>
    <t>eina hast</t>
  </si>
  <si>
    <t>Einadia hastata</t>
  </si>
  <si>
    <t>eina nuta</t>
  </si>
  <si>
    <t>Einadia nutans</t>
  </si>
  <si>
    <t>eina poly</t>
  </si>
  <si>
    <t>Einadia polygonoides</t>
  </si>
  <si>
    <t>einadia</t>
  </si>
  <si>
    <t>Einadia sp.</t>
  </si>
  <si>
    <t>eina trig</t>
  </si>
  <si>
    <t>Einadia trigonos</t>
  </si>
  <si>
    <t>eleo pusi</t>
  </si>
  <si>
    <t>Eleocharis pusilla</t>
  </si>
  <si>
    <t>eleo spha</t>
  </si>
  <si>
    <t>Eleocharis sphacelata</t>
  </si>
  <si>
    <t>eleu indi</t>
  </si>
  <si>
    <t>Eleusine indica</t>
  </si>
  <si>
    <t>eleu tris</t>
  </si>
  <si>
    <t>Eleusine tristachya</t>
  </si>
  <si>
    <t>elyt repe</t>
  </si>
  <si>
    <t>Elytrigia repens</t>
  </si>
  <si>
    <t>encl tome</t>
  </si>
  <si>
    <t>Enchylaena tomentosa</t>
  </si>
  <si>
    <t>enne aven</t>
  </si>
  <si>
    <t>Enneapogon avenaceus</t>
  </si>
  <si>
    <t>enne grac</t>
  </si>
  <si>
    <t>Enneapogon gracilis</t>
  </si>
  <si>
    <t>enne nigr</t>
  </si>
  <si>
    <t>Enneapogon nigricans</t>
  </si>
  <si>
    <t>enne trun</t>
  </si>
  <si>
    <t>Enneapogon truncatus</t>
  </si>
  <si>
    <t>ente acic</t>
  </si>
  <si>
    <t>Enteropogon acicularis</t>
  </si>
  <si>
    <t>ente ramo</t>
  </si>
  <si>
    <t>Enteropogon ramosus</t>
  </si>
  <si>
    <t>ento stri</t>
  </si>
  <si>
    <t>Entolasia stricta</t>
  </si>
  <si>
    <t>ento whit</t>
  </si>
  <si>
    <t>Entolasia whiteana</t>
  </si>
  <si>
    <t>epil bill</t>
  </si>
  <si>
    <t xml:space="preserve">Epilobium billardierianum  </t>
  </si>
  <si>
    <t>epil hirt</t>
  </si>
  <si>
    <t>Epilobium hirtigerum</t>
  </si>
  <si>
    <t>epilobium</t>
  </si>
  <si>
    <t>Epilobium sp.</t>
  </si>
  <si>
    <t>erag alve</t>
  </si>
  <si>
    <t>Eragrostis alveiformis</t>
  </si>
  <si>
    <t>erag bent</t>
  </si>
  <si>
    <t>Eragrostis benthamii</t>
  </si>
  <si>
    <t>erag brow</t>
  </si>
  <si>
    <t>Eragrostis brownii</t>
  </si>
  <si>
    <t>erag cili</t>
  </si>
  <si>
    <t>Eragrostis cilianensis</t>
  </si>
  <si>
    <t>Eragrostis curvula</t>
  </si>
  <si>
    <t>erag elon</t>
  </si>
  <si>
    <t>Eragrostis elongata</t>
  </si>
  <si>
    <t>erag lacu</t>
  </si>
  <si>
    <t>Eragrostis lacunaria</t>
  </si>
  <si>
    <t>erag lept</t>
  </si>
  <si>
    <t>Eragrostis leptostachya</t>
  </si>
  <si>
    <t>erag parv</t>
  </si>
  <si>
    <t>Eragrostis parviflora</t>
  </si>
  <si>
    <t>erag pilo</t>
  </si>
  <si>
    <t>Eragrostis pilosa</t>
  </si>
  <si>
    <t>erag seti</t>
  </si>
  <si>
    <t>Eragrostis setifolia</t>
  </si>
  <si>
    <t>erag spe</t>
  </si>
  <si>
    <t>Eragrostis sp. (exotic species)</t>
  </si>
  <si>
    <t>erag spn</t>
  </si>
  <si>
    <t>Eragrostis sp. (native species)</t>
  </si>
  <si>
    <t>erag trac</t>
  </si>
  <si>
    <t>Eragrostis trachycarpa</t>
  </si>
  <si>
    <t>erem debi</t>
  </si>
  <si>
    <t>Eremophila debilis</t>
  </si>
  <si>
    <t>erem dese</t>
  </si>
  <si>
    <t>Eremophila deserti</t>
  </si>
  <si>
    <t>erem glab</t>
  </si>
  <si>
    <t>Eremophila glabra</t>
  </si>
  <si>
    <t>erem long</t>
  </si>
  <si>
    <t>Eremophila longifolia</t>
  </si>
  <si>
    <t>erem mitc</t>
  </si>
  <si>
    <t>Eremophila mitchellii</t>
  </si>
  <si>
    <t>erio cucu</t>
  </si>
  <si>
    <t>Eriochilus cucullatus</t>
  </si>
  <si>
    <t>erod botr</t>
  </si>
  <si>
    <t>Erodium botrys</t>
  </si>
  <si>
    <t>erod brach</t>
  </si>
  <si>
    <t>Erodium brachycarpum</t>
  </si>
  <si>
    <t>erod cicu</t>
  </si>
  <si>
    <t>Erodium cicutarium</t>
  </si>
  <si>
    <t>erod crin</t>
  </si>
  <si>
    <t>Erodium crinitum</t>
  </si>
  <si>
    <t>erod mala</t>
  </si>
  <si>
    <t>Erodium malacoides</t>
  </si>
  <si>
    <t>erod spe</t>
  </si>
  <si>
    <t>Erodium sp. (exotic species)</t>
  </si>
  <si>
    <t>erod spn</t>
  </si>
  <si>
    <t>Erodium sp. (native species)</t>
  </si>
  <si>
    <t>erop vern</t>
  </si>
  <si>
    <t>Erophila verna</t>
  </si>
  <si>
    <t>eryn rost</t>
  </si>
  <si>
    <t>Eryngium ovinum</t>
  </si>
  <si>
    <t>eryn palu</t>
  </si>
  <si>
    <t>Eryngium paludosum</t>
  </si>
  <si>
    <t>eryngium</t>
  </si>
  <si>
    <t>Eryngium sp.</t>
  </si>
  <si>
    <t>eryn vesi</t>
  </si>
  <si>
    <t>Eryngium vesiculosum</t>
  </si>
  <si>
    <t>esch cali</t>
  </si>
  <si>
    <t>Eschscholzia californica</t>
  </si>
  <si>
    <t>Eucalyptus albens</t>
  </si>
  <si>
    <t>euca ampl</t>
  </si>
  <si>
    <t>Eucalyptus amplifolia</t>
  </si>
  <si>
    <t>euca bico</t>
  </si>
  <si>
    <t>Eucalyptus bicostata</t>
  </si>
  <si>
    <t>euca blak</t>
  </si>
  <si>
    <t>Eucalyptus blakelyi</t>
  </si>
  <si>
    <t>euca bosi</t>
  </si>
  <si>
    <t>Eucalyptus bosistoana</t>
  </si>
  <si>
    <t>euca brid</t>
  </si>
  <si>
    <t>Eucalyptus bridgesiana</t>
  </si>
  <si>
    <t>euca cama</t>
  </si>
  <si>
    <t>Eucalyptus camaldulensis</t>
  </si>
  <si>
    <t>euca camp</t>
  </si>
  <si>
    <t>Eucalyptus camphora</t>
  </si>
  <si>
    <t>euca cann</t>
  </si>
  <si>
    <t>Eucalyptus cannonii</t>
  </si>
  <si>
    <t>euca chlo</t>
  </si>
  <si>
    <t>Eucalyptus chloroclada</t>
  </si>
  <si>
    <t>euca cine</t>
  </si>
  <si>
    <t>Eucalyptus cinerea</t>
  </si>
  <si>
    <t>euca clad</t>
  </si>
  <si>
    <t>Eucalyptus cladocalyx</t>
  </si>
  <si>
    <t>euca coni</t>
  </si>
  <si>
    <t>Eucalyptus conica</t>
  </si>
  <si>
    <t>euca creb</t>
  </si>
  <si>
    <t>Eucalyptus crebra</t>
  </si>
  <si>
    <t>euca dalr</t>
  </si>
  <si>
    <t>Eucalyptus dalrympleana</t>
  </si>
  <si>
    <t>euca daws</t>
  </si>
  <si>
    <t>Eucalyptus dawsonii</t>
  </si>
  <si>
    <t>euca deal</t>
  </si>
  <si>
    <t>Eucalyptus dealbata</t>
  </si>
  <si>
    <t>euca dean</t>
  </si>
  <si>
    <t>Eucalyptus deanei</t>
  </si>
  <si>
    <t>euca dive</t>
  </si>
  <si>
    <t>Eucalyptus dives</t>
  </si>
  <si>
    <t>euca dwye</t>
  </si>
  <si>
    <t>Eucalyptus dwyeri</t>
  </si>
  <si>
    <t>euca fibr</t>
  </si>
  <si>
    <t>Eucalyptus fibrosa</t>
  </si>
  <si>
    <t>euca goni</t>
  </si>
  <si>
    <t>Eucalyptus goniocalyx</t>
  </si>
  <si>
    <t>euca larg</t>
  </si>
  <si>
    <t>Eucalyptus largiflorens</t>
  </si>
  <si>
    <t>euca leuc</t>
  </si>
  <si>
    <t>Eucalyptus leucoxylon</t>
  </si>
  <si>
    <t>euca maca</t>
  </si>
  <si>
    <t>Eucalyptus macarthurii</t>
  </si>
  <si>
    <t>euca macr</t>
  </si>
  <si>
    <t>Eucalyptus macrorhyncha</t>
  </si>
  <si>
    <t>euca maid</t>
  </si>
  <si>
    <t>Eucalyptus maidenii</t>
  </si>
  <si>
    <t>euca mann</t>
  </si>
  <si>
    <t>Eucalyptus mannifera</t>
  </si>
  <si>
    <t>euca mell</t>
  </si>
  <si>
    <t>Eucalyptus melliodora</t>
  </si>
  <si>
    <t>euca micr</t>
  </si>
  <si>
    <t>Eucalyptus microcarpa</t>
  </si>
  <si>
    <t>euca nort</t>
  </si>
  <si>
    <t>Eucalyptus nortonii</t>
  </si>
  <si>
    <t>euca ovat</t>
  </si>
  <si>
    <t>Eucalyptus ovata</t>
  </si>
  <si>
    <t>euca pauc</t>
  </si>
  <si>
    <t>Eucalyptus pauciflora</t>
  </si>
  <si>
    <t>euca poly</t>
  </si>
  <si>
    <t>Eucalyptus polyanthemos</t>
  </si>
  <si>
    <t>euca popu</t>
  </si>
  <si>
    <t>Eucalyptus populnea</t>
  </si>
  <si>
    <t>euca radi</t>
  </si>
  <si>
    <t>Eucalyptus radiata</t>
  </si>
  <si>
    <t>euca robe</t>
  </si>
  <si>
    <t>Eucalyptus robertsonii</t>
  </si>
  <si>
    <t>euca ross</t>
  </si>
  <si>
    <t>Eucalyptus rossii</t>
  </si>
  <si>
    <t>euca rubi</t>
  </si>
  <si>
    <t>Eucalyptus rubida</t>
  </si>
  <si>
    <t>euca side</t>
  </si>
  <si>
    <t>Eucalyptus sideroxylon</t>
  </si>
  <si>
    <t>euca spe</t>
  </si>
  <si>
    <t>Eucalyptus sp. (exotic; i.e. not locally indigenous; may be invasive or planted)</t>
  </si>
  <si>
    <t>Eucalyptus sp. (locally indigenous and not invasive or planted)</t>
  </si>
  <si>
    <t>euca stel</t>
  </si>
  <si>
    <t>Eucalyptus stellulata</t>
  </si>
  <si>
    <t>euca tere</t>
  </si>
  <si>
    <t>Eucalyptus tereticornis</t>
  </si>
  <si>
    <t>euca vimi</t>
  </si>
  <si>
    <t>Eucalyptus viminalis</t>
  </si>
  <si>
    <t>eucalyptus</t>
  </si>
  <si>
    <t>Eucalytpus sp.</t>
  </si>
  <si>
    <t>euch gymn</t>
  </si>
  <si>
    <t>Euchiton gymnocephalus</t>
  </si>
  <si>
    <t>euch invo</t>
  </si>
  <si>
    <t>Euchiton involucratus</t>
  </si>
  <si>
    <t>eucaiton</t>
  </si>
  <si>
    <t>Euchiton sp.</t>
  </si>
  <si>
    <t>euch spha</t>
  </si>
  <si>
    <t>Euchiton sphaericus</t>
  </si>
  <si>
    <t>eula aure</t>
  </si>
  <si>
    <t>Eulalia aurea</t>
  </si>
  <si>
    <t>eula fulv</t>
  </si>
  <si>
    <t>Eulalia fulva</t>
  </si>
  <si>
    <t>euph dall</t>
  </si>
  <si>
    <t>Euphorbia dallachyana</t>
  </si>
  <si>
    <t>euph drum</t>
  </si>
  <si>
    <t>Euphorbia drummondii</t>
  </si>
  <si>
    <t>euph pepl</t>
  </si>
  <si>
    <t>Euphorbia peplus</t>
  </si>
  <si>
    <t>eust lati</t>
  </si>
  <si>
    <t>Eustrephus latifolius</t>
  </si>
  <si>
    <t>euta micr</t>
  </si>
  <si>
    <t>Eutaxia microphylla</t>
  </si>
  <si>
    <t>eutaxia</t>
  </si>
  <si>
    <t>Eutaxia sp.</t>
  </si>
  <si>
    <t>evol alsi</t>
  </si>
  <si>
    <t>Evolvulus alsinoides</t>
  </si>
  <si>
    <t>exoc aphy</t>
  </si>
  <si>
    <t>Exocarpos aphyllus</t>
  </si>
  <si>
    <t>exoc cupr</t>
  </si>
  <si>
    <t>Exocarpos cupressiformis</t>
  </si>
  <si>
    <t>exoc stri</t>
  </si>
  <si>
    <t>Exocarpos strictus</t>
  </si>
  <si>
    <t>face retu</t>
  </si>
  <si>
    <t>Facelis retusa</t>
  </si>
  <si>
    <t>fest arun</t>
  </si>
  <si>
    <t>Festuca arundinacea</t>
  </si>
  <si>
    <t>fest elat</t>
  </si>
  <si>
    <t>Festuca elatior</t>
  </si>
  <si>
    <t>fest prat</t>
  </si>
  <si>
    <t>Festuca pratensis</t>
  </si>
  <si>
    <t>festuca</t>
  </si>
  <si>
    <t>Festuca sp.</t>
  </si>
  <si>
    <t>ficu cari</t>
  </si>
  <si>
    <t>Ficus carica</t>
  </si>
  <si>
    <t>ficu rubi</t>
  </si>
  <si>
    <t>Ficus rubiginosa</t>
  </si>
  <si>
    <t>fimb dich</t>
  </si>
  <si>
    <t>Fimbristylis dichotoma</t>
  </si>
  <si>
    <t>Semi-sensitive graminoid</t>
  </si>
  <si>
    <t>foen vulg</t>
  </si>
  <si>
    <t xml:space="preserve">Foeniculum vulgare </t>
  </si>
  <si>
    <t>fuma mura</t>
  </si>
  <si>
    <t>Fumaria muralis</t>
  </si>
  <si>
    <t>gahn aspe</t>
  </si>
  <si>
    <t>Gahnia aspera</t>
  </si>
  <si>
    <t>gale pube</t>
  </si>
  <si>
    <t>Galenia pubescens</t>
  </si>
  <si>
    <t>gali apar</t>
  </si>
  <si>
    <t>Galium aparine</t>
  </si>
  <si>
    <t>gali cili</t>
  </si>
  <si>
    <t>Galium ciliare</t>
  </si>
  <si>
    <t>gali diva</t>
  </si>
  <si>
    <t>Galium divaricatum</t>
  </si>
  <si>
    <t>gali gaud</t>
  </si>
  <si>
    <t xml:space="preserve">Galium gaudichaudii </t>
  </si>
  <si>
    <t>gali leio</t>
  </si>
  <si>
    <t>Galium leiocarpum</t>
  </si>
  <si>
    <t>gali lept</t>
  </si>
  <si>
    <t>Galium leptogonium</t>
  </si>
  <si>
    <t>gali lira</t>
  </si>
  <si>
    <t>Galium liratum</t>
  </si>
  <si>
    <t>gali micr</t>
  </si>
  <si>
    <t>Galium microlobum</t>
  </si>
  <si>
    <t>gali migr</t>
  </si>
  <si>
    <t>Galium migrans</t>
  </si>
  <si>
    <t>gali mura</t>
  </si>
  <si>
    <t>Galium murale</t>
  </si>
  <si>
    <t>gali prop</t>
  </si>
  <si>
    <t>Galium propinquum</t>
  </si>
  <si>
    <t>gamo amer</t>
  </si>
  <si>
    <t>Gamochaeta americana</t>
  </si>
  <si>
    <t>gamo calv</t>
  </si>
  <si>
    <t>Gamochaeta calviceps</t>
  </si>
  <si>
    <t>Note: the thing we need people to be clear on is that they are using it in grassland or woodland only. The catch all is the plot to PCT tool - if it allocates to a forest type the FVS shouldn’t apply?</t>
  </si>
  <si>
    <t>galo coar</t>
  </si>
  <si>
    <t xml:space="preserve">Gamochaeta coarctata </t>
  </si>
  <si>
    <t>galo purp</t>
  </si>
  <si>
    <t>Gamochaeta purpurea</t>
  </si>
  <si>
    <t>gamochaeta</t>
  </si>
  <si>
    <t>Gamochaeta sp.</t>
  </si>
  <si>
    <t>gast sesa</t>
  </si>
  <si>
    <t>Gastrodia sesamoides</t>
  </si>
  <si>
    <t>geij parv</t>
  </si>
  <si>
    <t>Geijera parviflora</t>
  </si>
  <si>
    <t>geit cymo</t>
  </si>
  <si>
    <t>Geitonoplesium cymosum</t>
  </si>
  <si>
    <t>geni mons</t>
  </si>
  <si>
    <t>Genista monspessulana</t>
  </si>
  <si>
    <t>geno rufu</t>
  </si>
  <si>
    <t>Genoplesium rufum</t>
  </si>
  <si>
    <t>Genoplesium sp.</t>
  </si>
  <si>
    <t>gera gard</t>
  </si>
  <si>
    <t>Geranium gardneri</t>
  </si>
  <si>
    <t>gera home</t>
  </si>
  <si>
    <t>Geranium homeanum</t>
  </si>
  <si>
    <t>gera moll</t>
  </si>
  <si>
    <t>Geranium molle</t>
  </si>
  <si>
    <t>gera negl</t>
  </si>
  <si>
    <t>Geranium neglectum</t>
  </si>
  <si>
    <t>gera pote</t>
  </si>
  <si>
    <t>Geranium potentilloides</t>
  </si>
  <si>
    <t>gera sola</t>
  </si>
  <si>
    <t>Geranium solanderi</t>
  </si>
  <si>
    <t>gera spe</t>
  </si>
  <si>
    <t>Geranium sp. (exotic species)</t>
  </si>
  <si>
    <t>gera spn</t>
  </si>
  <si>
    <t>Geranium sp. (native species)</t>
  </si>
  <si>
    <t>gloss bide</t>
  </si>
  <si>
    <t>Glossocardia bidens</t>
  </si>
  <si>
    <t>glyc aust</t>
  </si>
  <si>
    <t>Glyceria australis</t>
  </si>
  <si>
    <t>glyc maxi</t>
  </si>
  <si>
    <t>Glyceria maxima</t>
  </si>
  <si>
    <t>glyc cane</t>
  </si>
  <si>
    <t>Glycine canescens</t>
  </si>
  <si>
    <t>glyc clan</t>
  </si>
  <si>
    <t>Glycine clandestina</t>
  </si>
  <si>
    <t>glyc lati</t>
  </si>
  <si>
    <t>Glycine latifolia</t>
  </si>
  <si>
    <t>glys micr</t>
  </si>
  <si>
    <t>Glycine microphylla</t>
  </si>
  <si>
    <t>glycine</t>
  </si>
  <si>
    <t>Glycine sp.</t>
  </si>
  <si>
    <t>glyc sten</t>
  </si>
  <si>
    <t>Glycine stenophita</t>
  </si>
  <si>
    <t>glyc taba</t>
  </si>
  <si>
    <t>Glycine tabacina</t>
  </si>
  <si>
    <t>gomp hueg</t>
  </si>
  <si>
    <t>Gompholobium huegellii</t>
  </si>
  <si>
    <t>gomp minu</t>
  </si>
  <si>
    <t>Gompholobium minus</t>
  </si>
  <si>
    <t>gomp bvirg</t>
  </si>
  <si>
    <t>Gompholobium virgatum</t>
  </si>
  <si>
    <t>gono elat</t>
  </si>
  <si>
    <t>Gonocarpus elatus</t>
  </si>
  <si>
    <t>gono micr</t>
  </si>
  <si>
    <t>Gonocarpus micranthus</t>
  </si>
  <si>
    <t>gono tetr</t>
  </si>
  <si>
    <t>Gonocarpus tetragynus</t>
  </si>
  <si>
    <t>gono tuec</t>
  </si>
  <si>
    <t>Gonocarpus teucrioides</t>
  </si>
  <si>
    <t>good bell</t>
  </si>
  <si>
    <t>Goodenia bellidifolia</t>
  </si>
  <si>
    <t>good cycl</t>
  </si>
  <si>
    <t>Goodenia cycloptera</t>
  </si>
  <si>
    <t>good graci</t>
  </si>
  <si>
    <t>Goodenia gracilis</t>
  </si>
  <si>
    <t>good hede</t>
  </si>
  <si>
    <t>Goodenia hederacea</t>
  </si>
  <si>
    <t>good macb</t>
  </si>
  <si>
    <t>Goodenia macbarronii</t>
  </si>
  <si>
    <t>good pinn</t>
  </si>
  <si>
    <t>Goodenia pinnatifida</t>
  </si>
  <si>
    <t>good pusi</t>
  </si>
  <si>
    <t>Goodenia pusilliflora</t>
  </si>
  <si>
    <t>good rotu</t>
  </si>
  <si>
    <t>Goodenia rotundifolia</t>
  </si>
  <si>
    <t>goodenia</t>
  </si>
  <si>
    <t>Goodenia sp.</t>
  </si>
  <si>
    <t>grat nana</t>
  </si>
  <si>
    <t>Gratiola nana</t>
  </si>
  <si>
    <t>grat pedu</t>
  </si>
  <si>
    <t>Gratiola pedunculata</t>
  </si>
  <si>
    <t>grat peru</t>
  </si>
  <si>
    <t>Gratiola peruviana</t>
  </si>
  <si>
    <t>grev alpi</t>
  </si>
  <si>
    <t>Grevillea alpina</t>
  </si>
  <si>
    <t>grev aren</t>
  </si>
  <si>
    <t>Grevillea arenaria</t>
  </si>
  <si>
    <t>grev flor</t>
  </si>
  <si>
    <t>Grevillea floribunda</t>
  </si>
  <si>
    <t>grev lani</t>
  </si>
  <si>
    <t>Grevillea lanigera</t>
  </si>
  <si>
    <t>grev poly</t>
  </si>
  <si>
    <t>Grevillea polybractea</t>
  </si>
  <si>
    <t>grev ramo</t>
  </si>
  <si>
    <t>Grevillea ramosissima</t>
  </si>
  <si>
    <t>grev robu</t>
  </si>
  <si>
    <t>Grevillea robusta</t>
  </si>
  <si>
    <t>grev rosm</t>
  </si>
  <si>
    <t>Grevillea rosmarinifolia</t>
  </si>
  <si>
    <t>grevillea</t>
  </si>
  <si>
    <t>Grevillea sp.</t>
  </si>
  <si>
    <t>grev spe</t>
  </si>
  <si>
    <t>Grevillea sp. (exotic; i.e. not locally indigenous; may be invasive or planted)</t>
  </si>
  <si>
    <t>grev spn</t>
  </si>
  <si>
    <t>Grevillea sp. (locally indigenous and not invasive or planted)</t>
  </si>
  <si>
    <t>gron vari</t>
  </si>
  <si>
    <t>Grona varians</t>
  </si>
  <si>
    <t>gyna pulc</t>
  </si>
  <si>
    <t>Gynatrix pulchella</t>
  </si>
  <si>
    <t>gyps tubu</t>
  </si>
  <si>
    <t>Gypsophila tubulosa</t>
  </si>
  <si>
    <t>hack suav</t>
  </si>
  <si>
    <t>Hackelia suaveolens</t>
  </si>
  <si>
    <t>hake decu</t>
  </si>
  <si>
    <t>Hakea decurrens</t>
  </si>
  <si>
    <t>hake leuc</t>
  </si>
  <si>
    <t>Hakea leucoptera</t>
  </si>
  <si>
    <t>hake Sali</t>
  </si>
  <si>
    <t>Hakea salicifolia</t>
  </si>
  <si>
    <t>hake seri</t>
  </si>
  <si>
    <t>Hakea sericea</t>
  </si>
  <si>
    <t>hake teph</t>
  </si>
  <si>
    <t>Hakea tephrosperma</t>
  </si>
  <si>
    <t>halo aspe</t>
  </si>
  <si>
    <t>Haloragis aspera</t>
  </si>
  <si>
    <t>halo hete</t>
  </si>
  <si>
    <t>Haloragis heterophylla</t>
  </si>
  <si>
    <t>halo serr</t>
  </si>
  <si>
    <t>Haloragis serra</t>
  </si>
  <si>
    <t>hard viol</t>
  </si>
  <si>
    <t>Hardenbergia violacea</t>
  </si>
  <si>
    <t>hede heli</t>
  </si>
  <si>
    <t>Hedera helix</t>
  </si>
  <si>
    <t>hedy rhag</t>
  </si>
  <si>
    <t>Hedypnois rhagadioloides</t>
  </si>
  <si>
    <t>heli annu</t>
  </si>
  <si>
    <t>Helianthus annuus</t>
  </si>
  <si>
    <t>heli ampl</t>
  </si>
  <si>
    <t>Heliotropium amplexicaule</t>
  </si>
  <si>
    <t>heli supi</t>
  </si>
  <si>
    <t>Heliotropium supinum</t>
  </si>
  <si>
    <t>hema unci</t>
  </si>
  <si>
    <t xml:space="preserve">Hemarthria uncinata </t>
  </si>
  <si>
    <t>hibb acic</t>
  </si>
  <si>
    <t>Hibbertia acicularis</t>
  </si>
  <si>
    <t>hibb caly</t>
  </si>
  <si>
    <t>Hibbertia calycina</t>
  </si>
  <si>
    <t>hibb empt</t>
  </si>
  <si>
    <t>Hibbertia empetrifolia</t>
  </si>
  <si>
    <t>hibb obtu</t>
  </si>
  <si>
    <t>Hibbertia obtusifolia</t>
  </si>
  <si>
    <t>hibb pedu</t>
  </si>
  <si>
    <t>Hibbertia pedunculata</t>
  </si>
  <si>
    <t>hibb ripa</t>
  </si>
  <si>
    <t>Hibbertia riparia</t>
  </si>
  <si>
    <t>hibb stri</t>
  </si>
  <si>
    <t>Hibbertia stricta</t>
  </si>
  <si>
    <t>hirs inca</t>
  </si>
  <si>
    <t>Hirschfeldia incana</t>
  </si>
  <si>
    <t>holc lana</t>
  </si>
  <si>
    <t>Holcus lanatus</t>
  </si>
  <si>
    <t>hord lepo</t>
  </si>
  <si>
    <t>Hordeum leporinum</t>
  </si>
  <si>
    <t>hord mari</t>
  </si>
  <si>
    <t>Hordeum marinum</t>
  </si>
  <si>
    <t>hordeum</t>
  </si>
  <si>
    <t>Hordeum sp.</t>
  </si>
  <si>
    <t>hord vulg</t>
  </si>
  <si>
    <t>Hordeum vulgare</t>
  </si>
  <si>
    <t>hove hete</t>
  </si>
  <si>
    <t>Hovea heterophylla</t>
  </si>
  <si>
    <t>hove line</t>
  </si>
  <si>
    <t>Hovea linearis</t>
  </si>
  <si>
    <t>hove purp</t>
  </si>
  <si>
    <t>Hovea purpurea</t>
  </si>
  <si>
    <t>hyal demi</t>
  </si>
  <si>
    <t>Hyalosperma demissum</t>
  </si>
  <si>
    <t>hyal glut</t>
  </si>
  <si>
    <t>Hyalosperma glutinosum</t>
  </si>
  <si>
    <t>hyal prae</t>
  </si>
  <si>
    <t>Hyalosperma praecox</t>
  </si>
  <si>
    <t>hyba mono</t>
  </si>
  <si>
    <t>Hybanthus monopetalus</t>
  </si>
  <si>
    <t>hydr acut</t>
  </si>
  <si>
    <t>Hydrocotyle acutiloba</t>
  </si>
  <si>
    <t>hydr algi</t>
  </si>
  <si>
    <t>Hydrocotyle algida</t>
  </si>
  <si>
    <t>hydr call</t>
  </si>
  <si>
    <t>Hydrocotyle callicarpa</t>
  </si>
  <si>
    <t>hydr fove</t>
  </si>
  <si>
    <t>Hydrocotyle foveolata</t>
  </si>
  <si>
    <t>hydr laxi</t>
  </si>
  <si>
    <t>Hydrocotyle laxiflora</t>
  </si>
  <si>
    <t>hydr pedu</t>
  </si>
  <si>
    <t>Hydrocotyle peduncularis</t>
  </si>
  <si>
    <t>hydr trip</t>
  </si>
  <si>
    <t>Hydrocotyle tripartita</t>
  </si>
  <si>
    <t>hypa hirt</t>
  </si>
  <si>
    <t>Hyparrhenia hirta</t>
  </si>
  <si>
    <t>hype gram</t>
  </si>
  <si>
    <t>Hypericum gramineum</t>
  </si>
  <si>
    <t>hype japo</t>
  </si>
  <si>
    <t>Hypericum japonicum</t>
  </si>
  <si>
    <t>hype perf</t>
  </si>
  <si>
    <t>Hypericum perforatum</t>
  </si>
  <si>
    <t>hypo glab</t>
  </si>
  <si>
    <t>Hypochaeris glabra</t>
  </si>
  <si>
    <t>hypo radi</t>
  </si>
  <si>
    <t>Hypochaeris radicata</t>
  </si>
  <si>
    <t>hypochaeris</t>
  </si>
  <si>
    <t>Hypochaeris sp.</t>
  </si>
  <si>
    <t>Hypoxis glabella</t>
  </si>
  <si>
    <t>hypo hygr</t>
  </si>
  <si>
    <t>Hypoxis hygrometrica</t>
  </si>
  <si>
    <t>hypoxis</t>
  </si>
  <si>
    <t>Hypoxis sp.</t>
  </si>
  <si>
    <t>hypo vagi</t>
  </si>
  <si>
    <t>Hypoxis vaginata</t>
  </si>
  <si>
    <t>impe cycli</t>
  </si>
  <si>
    <t>Imperata cylindrica</t>
  </si>
  <si>
    <t>indi ades</t>
  </si>
  <si>
    <t>Indigofera adesmiifolia</t>
  </si>
  <si>
    <t>indi aust</t>
  </si>
  <si>
    <t>Indigofera australis</t>
  </si>
  <si>
    <t>indi coro</t>
  </si>
  <si>
    <t>Indigofera coronillifolia</t>
  </si>
  <si>
    <t>iris germ</t>
  </si>
  <si>
    <t>Iris germanica</t>
  </si>
  <si>
    <t>isac glob</t>
  </si>
  <si>
    <t>Isachne globosa</t>
  </si>
  <si>
    <t>isei memb</t>
  </si>
  <si>
    <t>Iseilema membranaceum</t>
  </si>
  <si>
    <t>isoe gram</t>
  </si>
  <si>
    <t>Isoetopsis graminifolia</t>
  </si>
  <si>
    <t>isol aust</t>
  </si>
  <si>
    <t>Isolepis australiensis</t>
  </si>
  <si>
    <t>isol cern</t>
  </si>
  <si>
    <t>Isolepis cernua</t>
  </si>
  <si>
    <t>isol flui</t>
  </si>
  <si>
    <t>Isolepis fluitans</t>
  </si>
  <si>
    <t>isol gaud</t>
  </si>
  <si>
    <t>Isolepis gaudichaudiana</t>
  </si>
  <si>
    <t>isol hyst</t>
  </si>
  <si>
    <t>Isolepis hystrix</t>
  </si>
  <si>
    <t>isol plat</t>
  </si>
  <si>
    <t>Isolepis platycarpa</t>
  </si>
  <si>
    <t>isolepis</t>
  </si>
  <si>
    <t>Isolepis sp.</t>
  </si>
  <si>
    <t>isol spe</t>
  </si>
  <si>
    <t>Isolepis sp. (exotic species)</t>
  </si>
  <si>
    <t>isol spn</t>
  </si>
  <si>
    <t>Isolepis sp. (native species)</t>
  </si>
  <si>
    <t>isol subt</t>
  </si>
  <si>
    <t>Isolepis subtilissima</t>
  </si>
  <si>
    <t>isot fluv</t>
  </si>
  <si>
    <t>Isotoma fluviatilis</t>
  </si>
  <si>
    <t>ixia flex</t>
  </si>
  <si>
    <t>Ixia flexuosa</t>
  </si>
  <si>
    <t>jack scop</t>
  </si>
  <si>
    <t>Jacksonia scoparia</t>
  </si>
  <si>
    <t>jasm line</t>
  </si>
  <si>
    <t>Jasminum lineare</t>
  </si>
  <si>
    <t>junc acut</t>
  </si>
  <si>
    <t>Juncus acutus</t>
  </si>
  <si>
    <t>junc aust</t>
  </si>
  <si>
    <t>Juncus australis</t>
  </si>
  <si>
    <t>junc brev</t>
  </si>
  <si>
    <t>Juncus brevibracteus</t>
  </si>
  <si>
    <t>junc bulb</t>
  </si>
  <si>
    <t>Juncus bulbosus</t>
  </si>
  <si>
    <t>junc capi</t>
  </si>
  <si>
    <t>Juncus capitatus</t>
  </si>
  <si>
    <t>junc fili</t>
  </si>
  <si>
    <t>Juncus filicaulis</t>
  </si>
  <si>
    <t>junc flav</t>
  </si>
  <si>
    <t>Juncus flavidus</t>
  </si>
  <si>
    <t>junc fock</t>
  </si>
  <si>
    <t>Juncus fockei</t>
  </si>
  <si>
    <t>junc holo</t>
  </si>
  <si>
    <t>Juncus holoschoenus</t>
  </si>
  <si>
    <t>junc homa</t>
  </si>
  <si>
    <t>Juncus homalocaulis</t>
  </si>
  <si>
    <t>junc plan</t>
  </si>
  <si>
    <t>Juncus planifolius</t>
  </si>
  <si>
    <t>junc radu</t>
  </si>
  <si>
    <t>Juncus radula</t>
  </si>
  <si>
    <t>junc remo</t>
  </si>
  <si>
    <t>Juncus remotiflorus</t>
  </si>
  <si>
    <t>juncus</t>
  </si>
  <si>
    <t>Juncus sp.</t>
  </si>
  <si>
    <t>junc spe</t>
  </si>
  <si>
    <t>Juncus sp. (exotic species)</t>
  </si>
  <si>
    <t>junc spn</t>
  </si>
  <si>
    <t>Juncus sp. (native species)</t>
  </si>
  <si>
    <t>junc subg</t>
  </si>
  <si>
    <t>Juncus subglaucus</t>
  </si>
  <si>
    <t>junc subs</t>
  </si>
  <si>
    <t>Juncus subsecundus</t>
  </si>
  <si>
    <t>junc usit</t>
  </si>
  <si>
    <t>Juncus usitatus</t>
  </si>
  <si>
    <t>junc vagi</t>
  </si>
  <si>
    <t>Juncus vaginatus</t>
  </si>
  <si>
    <t>kenn proc</t>
  </si>
  <si>
    <t>Kennedia procurrens</t>
  </si>
  <si>
    <t>kick elat</t>
  </si>
  <si>
    <t>Kickxia elatine</t>
  </si>
  <si>
    <t>kick spur</t>
  </si>
  <si>
    <t>Kickxia spuria</t>
  </si>
  <si>
    <t>kunz ambi</t>
  </si>
  <si>
    <t>Kunzea ambigua</t>
  </si>
  <si>
    <t>kunz eric</t>
  </si>
  <si>
    <t>Kunzea ericoides</t>
  </si>
  <si>
    <t>kunz parv</t>
  </si>
  <si>
    <t>Kunzea parvifolia</t>
  </si>
  <si>
    <t>kunz sp</t>
  </si>
  <si>
    <t>Kunzea sp.</t>
  </si>
  <si>
    <t>lach aemu</t>
  </si>
  <si>
    <t>Lachnagrostis aemula</t>
  </si>
  <si>
    <t>lach fili</t>
  </si>
  <si>
    <t>Lachnagrostis filiformis</t>
  </si>
  <si>
    <t>lachnagrostis</t>
  </si>
  <si>
    <t>Lachnagrostis sp.</t>
  </si>
  <si>
    <t>lact serr</t>
  </si>
  <si>
    <t>Lactuca serriola</t>
  </si>
  <si>
    <t>lage graci</t>
  </si>
  <si>
    <t>Lagenophora gracilis</t>
  </si>
  <si>
    <t>lage stip</t>
  </si>
  <si>
    <t>Lagenophora stipitata</t>
  </si>
  <si>
    <t>lagu ovat</t>
  </si>
  <si>
    <t>Lagurus ovatus</t>
  </si>
  <si>
    <t>lami ampl</t>
  </si>
  <si>
    <t>Lamium amplexicaule</t>
  </si>
  <si>
    <t>lavendula</t>
  </si>
  <si>
    <t>Lavandula sp.</t>
  </si>
  <si>
    <t>laxm grac</t>
  </si>
  <si>
    <t>Laxmannia gracilis</t>
  </si>
  <si>
    <t>ixio lept</t>
  </si>
  <si>
    <t>Leiocarpa leptolepis</t>
  </si>
  <si>
    <t>leio pana</t>
  </si>
  <si>
    <t>Leiocarpa panaetioides</t>
  </si>
  <si>
    <t>leiocarpa</t>
  </si>
  <si>
    <t>Leiocarpa sp.</t>
  </si>
  <si>
    <t>lepi afri</t>
  </si>
  <si>
    <t>Lepidium africanum</t>
  </si>
  <si>
    <t>lepi bona</t>
  </si>
  <si>
    <t>Lepidium bonariense</t>
  </si>
  <si>
    <t>lepi mono</t>
  </si>
  <si>
    <t>Lepidium monoplocoides</t>
  </si>
  <si>
    <t>lepi conc</t>
  </si>
  <si>
    <t>Lepidosperma concavum</t>
  </si>
  <si>
    <t>lepi gunn</t>
  </si>
  <si>
    <t>Lepidosperma gunnii</t>
  </si>
  <si>
    <t>lepi late</t>
  </si>
  <si>
    <t>Lepidosperma laterale</t>
  </si>
  <si>
    <t>lepi visc</t>
  </si>
  <si>
    <t>Lepidosperma viscidum</t>
  </si>
  <si>
    <t>lept elon</t>
  </si>
  <si>
    <t>Leptorhynchos elongatus</t>
  </si>
  <si>
    <t>lept orie</t>
  </si>
  <si>
    <t>Leptorhynchos orientalis</t>
  </si>
  <si>
    <t>leptorhynchos squamatus</t>
  </si>
  <si>
    <t xml:space="preserve">Leptorhynchos squamatus </t>
  </si>
  <si>
    <t>lept cont</t>
  </si>
  <si>
    <t>Leptospermum continentale</t>
  </si>
  <si>
    <t>lept juni</t>
  </si>
  <si>
    <t>Leptospermum juniperinum</t>
  </si>
  <si>
    <t>lept lani</t>
  </si>
  <si>
    <t>Leptospermum lanigerum</t>
  </si>
  <si>
    <t>lept mult</t>
  </si>
  <si>
    <t>Leptospermum multicaule</t>
  </si>
  <si>
    <t>lept myrt</t>
  </si>
  <si>
    <t>Leptospermum myrtifolium</t>
  </si>
  <si>
    <t>lept obov</t>
  </si>
  <si>
    <t>Leptospermum obovatum</t>
  </si>
  <si>
    <t>lept poly</t>
  </si>
  <si>
    <t>Leptospermum polygalifolium</t>
  </si>
  <si>
    <t>leptospermum squarrosum</t>
  </si>
  <si>
    <t>Leptospermum squarrosum</t>
  </si>
  <si>
    <t>lesp junc</t>
  </si>
  <si>
    <t>Lespedeza juncea</t>
  </si>
  <si>
    <t>leuc vulg</t>
  </si>
  <si>
    <t>Leucanthemum vulgare</t>
  </si>
  <si>
    <t>leuc albi</t>
  </si>
  <si>
    <t>Leucochrysum albicans</t>
  </si>
  <si>
    <t>leuc atte</t>
  </si>
  <si>
    <t>Leucopogon attenuatus</t>
  </si>
  <si>
    <t>leuc eric</t>
  </si>
  <si>
    <t>Leucopogon ericoides</t>
  </si>
  <si>
    <t>leuc flet</t>
  </si>
  <si>
    <t>Leucopogon fletcheri</t>
  </si>
  <si>
    <t>leuc fras</t>
  </si>
  <si>
    <t>Leucopogon fraseri</t>
  </si>
  <si>
    <t>leuc muti</t>
  </si>
  <si>
    <t>Leucopogon muticus</t>
  </si>
  <si>
    <t>leucopogon</t>
  </si>
  <si>
    <t>Leucopogon sp.</t>
  </si>
  <si>
    <t>leuc virg</t>
  </si>
  <si>
    <t>Leucopogon virgatus</t>
  </si>
  <si>
    <t>ligu luci</t>
  </si>
  <si>
    <t>Ligustrum lucidum</t>
  </si>
  <si>
    <t>ligu ovat</t>
  </si>
  <si>
    <t>Ligustrum ovatum</t>
  </si>
  <si>
    <t>ligustrum</t>
  </si>
  <si>
    <t>Ligustrum sp.</t>
  </si>
  <si>
    <t>lina arve</t>
  </si>
  <si>
    <t xml:space="preserve">Linaria arvensis </t>
  </si>
  <si>
    <t>lina peli</t>
  </si>
  <si>
    <t>Linaria pelisseriana</t>
  </si>
  <si>
    <t>linaria</t>
  </si>
  <si>
    <t>Linaria sp.</t>
  </si>
  <si>
    <t>lind line</t>
  </si>
  <si>
    <t>Lindsaea linearis</t>
  </si>
  <si>
    <t>linu marg</t>
  </si>
  <si>
    <t>Linum marginale</t>
  </si>
  <si>
    <t>linu trig</t>
  </si>
  <si>
    <t>Linum trigynum</t>
  </si>
  <si>
    <t>linu usit</t>
  </si>
  <si>
    <t>Linum usitatissimum</t>
  </si>
  <si>
    <t>liss stri</t>
  </si>
  <si>
    <t>Lissanthe strigosa</t>
  </si>
  <si>
    <t>lobe gibb</t>
  </si>
  <si>
    <t>Lobelia gibbosa</t>
  </si>
  <si>
    <t>logf gall</t>
  </si>
  <si>
    <t>Logfia gallica</t>
  </si>
  <si>
    <t>loli pere</t>
  </si>
  <si>
    <t>Lolium perenne</t>
  </si>
  <si>
    <t>loli rigi</t>
  </si>
  <si>
    <t>Lolium rigidum</t>
  </si>
  <si>
    <t>lolium</t>
  </si>
  <si>
    <t>Lolium sp.</t>
  </si>
  <si>
    <t>loma brac</t>
  </si>
  <si>
    <t xml:space="preserve">Lomandra bracteata </t>
  </si>
  <si>
    <t>loma conf</t>
  </si>
  <si>
    <t>Lomandra confertifolia</t>
  </si>
  <si>
    <t>loma cyli</t>
  </si>
  <si>
    <t>Lomandra cylindrica</t>
  </si>
  <si>
    <t>loma effu</t>
  </si>
  <si>
    <t>Lomandra effusa</t>
  </si>
  <si>
    <t>loma fili</t>
  </si>
  <si>
    <t>Lomandra filiformis</t>
  </si>
  <si>
    <t>loma fluv</t>
  </si>
  <si>
    <t>Lomandra fluviatilis</t>
  </si>
  <si>
    <t>loma glau</t>
  </si>
  <si>
    <t>Lomandra glauca</t>
  </si>
  <si>
    <t>loma leuc</t>
  </si>
  <si>
    <t>Lomandra leucocephala</t>
  </si>
  <si>
    <t>loma long</t>
  </si>
  <si>
    <t xml:space="preserve">Lomandra longifolia  </t>
  </si>
  <si>
    <t>loma micr</t>
  </si>
  <si>
    <t>Lomandra micrantha</t>
  </si>
  <si>
    <t>loma mont</t>
  </si>
  <si>
    <t>Lomandra montana</t>
  </si>
  <si>
    <t>loma mult</t>
  </si>
  <si>
    <t>Lomandra multiflora</t>
  </si>
  <si>
    <t>loma nana</t>
  </si>
  <si>
    <t>Lomandra nana</t>
  </si>
  <si>
    <t>loma soro</t>
  </si>
  <si>
    <t>Lomandra sororia</t>
  </si>
  <si>
    <t>lomandra</t>
  </si>
  <si>
    <t>Lomandra sp.</t>
  </si>
  <si>
    <t>lotus aust</t>
  </si>
  <si>
    <t>Lotus australis</t>
  </si>
  <si>
    <t>lotu corn</t>
  </si>
  <si>
    <t>Lotus corniculatus</t>
  </si>
  <si>
    <t>lotu crue</t>
  </si>
  <si>
    <t>Lotus cruentus</t>
  </si>
  <si>
    <t>lotu ulig</t>
  </si>
  <si>
    <t>Lotus uliginosus</t>
  </si>
  <si>
    <t>ludw palu</t>
  </si>
  <si>
    <t>Ludwigia palustris</t>
  </si>
  <si>
    <t>ludw pepl</t>
  </si>
  <si>
    <t>Ludwigia peploides</t>
  </si>
  <si>
    <t>luzu dens</t>
  </si>
  <si>
    <t>Luzula densiflora</t>
  </si>
  <si>
    <t>luzu flac</t>
  </si>
  <si>
    <t>Luzula flaccida</t>
  </si>
  <si>
    <t>luzu ovat</t>
  </si>
  <si>
    <t>Luzula ovata</t>
  </si>
  <si>
    <t>luzula</t>
  </si>
  <si>
    <t>Luzula sp.</t>
  </si>
  <si>
    <t>lych coro</t>
  </si>
  <si>
    <t>Lychnis coronaria</t>
  </si>
  <si>
    <t>lyci fero</t>
  </si>
  <si>
    <t>Lycium ferocissimum</t>
  </si>
  <si>
    <t>lyco aust</t>
  </si>
  <si>
    <t>Lycopus australis</t>
  </si>
  <si>
    <t>lysi arve</t>
  </si>
  <si>
    <t>Lysimachia arvensis</t>
  </si>
  <si>
    <t>lysi moni</t>
  </si>
  <si>
    <t>Lysimachia minima</t>
  </si>
  <si>
    <t>lyth hyss</t>
  </si>
  <si>
    <t>Lythrum hyssopifolia</t>
  </si>
  <si>
    <t>lyth Sali</t>
  </si>
  <si>
    <t>Lythrum salicaria</t>
  </si>
  <si>
    <t>Semi-sensitive cycad</t>
  </si>
  <si>
    <t>macr secu</t>
  </si>
  <si>
    <t>Macrozamia secunda</t>
  </si>
  <si>
    <t>macr spira</t>
  </si>
  <si>
    <t>Macrozamia spiralis</t>
  </si>
  <si>
    <t>mair aphy</t>
  </si>
  <si>
    <t>Maireana aphylla</t>
  </si>
  <si>
    <t>mair brev</t>
  </si>
  <si>
    <t>Maireana brevifolia</t>
  </si>
  <si>
    <t>mair ench</t>
  </si>
  <si>
    <t>Maireana enchylaenoides</t>
  </si>
  <si>
    <t>mair humi</t>
  </si>
  <si>
    <t>Maireana humillima</t>
  </si>
  <si>
    <t>mair micr</t>
  </si>
  <si>
    <t>Maireana microphylla</t>
  </si>
  <si>
    <t>malu dome</t>
  </si>
  <si>
    <t>Malus domestica</t>
  </si>
  <si>
    <t>malv aust</t>
  </si>
  <si>
    <t>Malva australiana</t>
  </si>
  <si>
    <t>malv negl</t>
  </si>
  <si>
    <t>Malva neglecta</t>
  </si>
  <si>
    <t>malv parv</t>
  </si>
  <si>
    <t>Malva parviflora</t>
  </si>
  <si>
    <t>malv prei</t>
  </si>
  <si>
    <t>Malva preissiana</t>
  </si>
  <si>
    <t>malva</t>
  </si>
  <si>
    <t>Malva sp.</t>
  </si>
  <si>
    <t>marr vulg</t>
  </si>
  <si>
    <t>Marrubium vulgare</t>
  </si>
  <si>
    <t>mars aust</t>
  </si>
  <si>
    <t>Marsdenia australis</t>
  </si>
  <si>
    <t>mars flave</t>
  </si>
  <si>
    <t>Marsdenia flavescens</t>
  </si>
  <si>
    <t>mars plei</t>
  </si>
  <si>
    <t>Marsdenia pleiadenia</t>
  </si>
  <si>
    <t>mars viri</t>
  </si>
  <si>
    <t>Marsdenia viridiflora</t>
  </si>
  <si>
    <t>mars drum</t>
  </si>
  <si>
    <t>Marsilea drummondii</t>
  </si>
  <si>
    <t>mars hirs</t>
  </si>
  <si>
    <t>Marsilea hirsuta</t>
  </si>
  <si>
    <t>mars muti</t>
  </si>
  <si>
    <t>Marsilea mutica</t>
  </si>
  <si>
    <t>medi arab</t>
  </si>
  <si>
    <t>Medicago arabica</t>
  </si>
  <si>
    <t>medi laci</t>
  </si>
  <si>
    <t>Medicago laciniata</t>
  </si>
  <si>
    <t>medi lupu</t>
  </si>
  <si>
    <t>Medicago lupulina</t>
  </si>
  <si>
    <t>medi mini</t>
  </si>
  <si>
    <t>Medicago minima</t>
  </si>
  <si>
    <t>medi orbi</t>
  </si>
  <si>
    <t>Medicago orbicularis</t>
  </si>
  <si>
    <t>medi poly</t>
  </si>
  <si>
    <t>Medicago polymorpha</t>
  </si>
  <si>
    <t>medi sati</t>
  </si>
  <si>
    <t>Medicago sativa</t>
  </si>
  <si>
    <t>medicago</t>
  </si>
  <si>
    <t>Medicago sp.</t>
  </si>
  <si>
    <t>medi truc</t>
  </si>
  <si>
    <t>Medicago truncatula</t>
  </si>
  <si>
    <t>mela erub</t>
  </si>
  <si>
    <t>Melaleuca erubescens</t>
  </si>
  <si>
    <t>meli erub</t>
  </si>
  <si>
    <t>Melichrus erubescens</t>
  </si>
  <si>
    <t>meli urce</t>
  </si>
  <si>
    <t xml:space="preserve">Melichrus urceolatus  </t>
  </si>
  <si>
    <t>meli dent</t>
  </si>
  <si>
    <t>Melicytus dentatus</t>
  </si>
  <si>
    <t>ment aust</t>
  </si>
  <si>
    <t>Mentha australis</t>
  </si>
  <si>
    <t>ment diem</t>
  </si>
  <si>
    <t>Mentha diemenica</t>
  </si>
  <si>
    <t>ment laxi</t>
  </si>
  <si>
    <t>Mentha laxiflora</t>
  </si>
  <si>
    <t>ment satu</t>
  </si>
  <si>
    <t>Mentha satureioides</t>
  </si>
  <si>
    <t>micr stip</t>
  </si>
  <si>
    <t>Microlaena stipoides</t>
  </si>
  <si>
    <t>micr lanc</t>
  </si>
  <si>
    <t>Microseris lanceolata</t>
  </si>
  <si>
    <t>micr parv</t>
  </si>
  <si>
    <t>Microtis parviflora</t>
  </si>
  <si>
    <t>microtis</t>
  </si>
  <si>
    <t>Microtis sp.</t>
  </si>
  <si>
    <t>micr unif</t>
  </si>
  <si>
    <t>Microtis unifolia</t>
  </si>
  <si>
    <t>miniura</t>
  </si>
  <si>
    <t>Miniura sp.</t>
  </si>
  <si>
    <t>mini dent</t>
  </si>
  <si>
    <t>Minuria denticulata</t>
  </si>
  <si>
    <t>mirb pung</t>
  </si>
  <si>
    <t>Mirbelia pungens</t>
  </si>
  <si>
    <t>miso oron</t>
  </si>
  <si>
    <t>Misopates orontium</t>
  </si>
  <si>
    <t>modi caro</t>
  </si>
  <si>
    <t>Modiola caroliniana</t>
  </si>
  <si>
    <t>moen erec</t>
  </si>
  <si>
    <t>Moenchia erecta</t>
  </si>
  <si>
    <t>mono scop</t>
  </si>
  <si>
    <t>Monotoca scoparia</t>
  </si>
  <si>
    <t>mont font</t>
  </si>
  <si>
    <t>Montia fontana</t>
  </si>
  <si>
    <t>more seti</t>
  </si>
  <si>
    <t>Moraea setifolia</t>
  </si>
  <si>
    <t>mueh flor</t>
  </si>
  <si>
    <t>Muehlenbeckia florulenta</t>
  </si>
  <si>
    <t>mueh rhyt</t>
  </si>
  <si>
    <t>Muehlenbeckia rhyticarya</t>
  </si>
  <si>
    <t>muel euca</t>
  </si>
  <si>
    <t>Muellerina eucalyptoides</t>
  </si>
  <si>
    <t>musc race</t>
  </si>
  <si>
    <t>Muscari racemosum</t>
  </si>
  <si>
    <t>myop mont</t>
  </si>
  <si>
    <t>Myoporum montanum</t>
  </si>
  <si>
    <t>myop plat</t>
  </si>
  <si>
    <t>Myoporum platycarpum</t>
  </si>
  <si>
    <t>myos aust</t>
  </si>
  <si>
    <t>Myosotis australis</t>
  </si>
  <si>
    <t>myos caes</t>
  </si>
  <si>
    <t>Myosotis caespitosa</t>
  </si>
  <si>
    <t>myos disc</t>
  </si>
  <si>
    <t>Myosotis discolor</t>
  </si>
  <si>
    <t>myos laxa</t>
  </si>
  <si>
    <t>Myosotis laxa</t>
  </si>
  <si>
    <t>myri pedu</t>
  </si>
  <si>
    <t>Myriophyllum pedunculatum</t>
  </si>
  <si>
    <t>myri simu</t>
  </si>
  <si>
    <t>Myriophyllum simulans</t>
  </si>
  <si>
    <t>Nassella neesiana</t>
  </si>
  <si>
    <t>nass tric</t>
  </si>
  <si>
    <t>Nassella trichotoma</t>
  </si>
  <si>
    <t>neat apul</t>
  </si>
  <si>
    <t>Neatostema apulum</t>
  </si>
  <si>
    <t>neop aust</t>
  </si>
  <si>
    <t>Neopaxia australasica</t>
  </si>
  <si>
    <t>nico suav</t>
  </si>
  <si>
    <t>Nicotiana suaveolens</t>
  </si>
  <si>
    <t>note negl</t>
  </si>
  <si>
    <t>Notelaea neglecta</t>
  </si>
  <si>
    <t>noto corn</t>
  </si>
  <si>
    <t>Notothixos cornifolius</t>
  </si>
  <si>
    <t>nymp germ</t>
  </si>
  <si>
    <t>Nymphoides geminata</t>
  </si>
  <si>
    <t>oeno laci</t>
  </si>
  <si>
    <t>Oenothera laciniata</t>
  </si>
  <si>
    <t>oeno stri</t>
  </si>
  <si>
    <t>Oenothera stricta</t>
  </si>
  <si>
    <t>olea euro</t>
  </si>
  <si>
    <t>Olea europaea</t>
  </si>
  <si>
    <t>olea elli</t>
  </si>
  <si>
    <t>Olearia elliptica</t>
  </si>
  <si>
    <t>elea lepi</t>
  </si>
  <si>
    <t>Olearia lepidophylla</t>
  </si>
  <si>
    <t>olea micr</t>
  </si>
  <si>
    <t>Olearia microphylla</t>
  </si>
  <si>
    <t>olea pime</t>
  </si>
  <si>
    <t>Olearia pimeleoides</t>
  </si>
  <si>
    <t>olea visc</t>
  </si>
  <si>
    <t>Olearia viscidula</t>
  </si>
  <si>
    <t>onop acan</t>
  </si>
  <si>
    <t>Onopordum acanthium</t>
  </si>
  <si>
    <t>onop acau</t>
  </si>
  <si>
    <t>Onopordum acaulon</t>
  </si>
  <si>
    <t>onop illy</t>
  </si>
  <si>
    <t>Onopordum illyricum</t>
  </si>
  <si>
    <t>onopordum</t>
  </si>
  <si>
    <t>Onopordum sp.</t>
  </si>
  <si>
    <t>oper aspe</t>
  </si>
  <si>
    <t>Opercularia aspera</t>
  </si>
  <si>
    <t>oper diph</t>
  </si>
  <si>
    <t>Opercularia diphylla</t>
  </si>
  <si>
    <t>oper hisp</t>
  </si>
  <si>
    <t>Opercularia hispida</t>
  </si>
  <si>
    <t>opercularia</t>
  </si>
  <si>
    <t>Opercularia sp.</t>
  </si>
  <si>
    <t>ophi lusi</t>
  </si>
  <si>
    <t>Ophioglossum lusitaniacum</t>
  </si>
  <si>
    <t>opun aura</t>
  </si>
  <si>
    <t>Opuntia aurantiaca</t>
  </si>
  <si>
    <t>opun stri</t>
  </si>
  <si>
    <t>Opuntia stricta</t>
  </si>
  <si>
    <t>oreo erio</t>
  </si>
  <si>
    <t>Oreomyrrhis eriopoda</t>
  </si>
  <si>
    <t>orni comp</t>
  </si>
  <si>
    <t>Ornithopus compressus</t>
  </si>
  <si>
    <t>orob minu</t>
  </si>
  <si>
    <t>Orobanche minor</t>
  </si>
  <si>
    <t>otte oval</t>
  </si>
  <si>
    <t>Ottelia ovalifolia</t>
  </si>
  <si>
    <t>oxal arti</t>
  </si>
  <si>
    <t>Oxalis articulata</t>
  </si>
  <si>
    <t>oxal chno</t>
  </si>
  <si>
    <t>Oxalis chnoodes</t>
  </si>
  <si>
    <t>oxal corn</t>
  </si>
  <si>
    <t>Oxalis corniculata</t>
  </si>
  <si>
    <t>oxal exil</t>
  </si>
  <si>
    <t>Oxalis exilis</t>
  </si>
  <si>
    <t>oxal pere</t>
  </si>
  <si>
    <t>Oxalis perennans</t>
  </si>
  <si>
    <t>oxal radi</t>
  </si>
  <si>
    <t>Oxalis radicosa</t>
  </si>
  <si>
    <t>oxalis</t>
  </si>
  <si>
    <t>Oxalis sp.</t>
  </si>
  <si>
    <t>oxal spe</t>
  </si>
  <si>
    <t>Oxalis sp. (exotic species)</t>
  </si>
  <si>
    <t>oxal spn</t>
  </si>
  <si>
    <t>Oxalis sp. (native species)</t>
  </si>
  <si>
    <t>oxyp coer</t>
  </si>
  <si>
    <t>Oxypetalum coeruleum</t>
  </si>
  <si>
    <t>desm brac</t>
  </si>
  <si>
    <t>Oxytes brachypoda</t>
  </si>
  <si>
    <t>ozot dios</t>
  </si>
  <si>
    <t>Ozothamnus diosmifolius</t>
  </si>
  <si>
    <t>ozot obco</t>
  </si>
  <si>
    <t>Ozothamnus obcordatus</t>
  </si>
  <si>
    <t>pand pand</t>
  </si>
  <si>
    <t>Pandorea pandorana</t>
  </si>
  <si>
    <t>pani colo</t>
  </si>
  <si>
    <t>Panicum coloratum</t>
  </si>
  <si>
    <t>pani deco</t>
  </si>
  <si>
    <t>Panicum decompositum</t>
  </si>
  <si>
    <t>pani effu</t>
  </si>
  <si>
    <t>Panicum effusum</t>
  </si>
  <si>
    <t>pani simi</t>
  </si>
  <si>
    <t>Panicum simile</t>
  </si>
  <si>
    <t>papa acul</t>
  </si>
  <si>
    <t>Papaver aculeatum</t>
  </si>
  <si>
    <t>papa somn</t>
  </si>
  <si>
    <t>Papaver somniferum</t>
  </si>
  <si>
    <t>para loph</t>
  </si>
  <si>
    <t>Paraserianthes lophantha</t>
  </si>
  <si>
    <t>para lati</t>
  </si>
  <si>
    <t>Parentucellia latifolia</t>
  </si>
  <si>
    <t>paro bras</t>
  </si>
  <si>
    <t>Paronychia brasiliana</t>
  </si>
  <si>
    <t>pars euca</t>
  </si>
  <si>
    <t>Parsonsia eucalyptophylla</t>
  </si>
  <si>
    <t>pasp aver</t>
  </si>
  <si>
    <t>Paspalidium aversum</t>
  </si>
  <si>
    <t>pasp cons</t>
  </si>
  <si>
    <t>Paspalidium constrictum</t>
  </si>
  <si>
    <t>pasp crin</t>
  </si>
  <si>
    <t>Paspalidium criniforme</t>
  </si>
  <si>
    <t>paspalidium distans</t>
  </si>
  <si>
    <t>Paspalidium distans</t>
  </si>
  <si>
    <t>pasp graci</t>
  </si>
  <si>
    <t>Paspalidium gracile</t>
  </si>
  <si>
    <t>pasp jubi</t>
  </si>
  <si>
    <t>Paspalidium jubiflorum</t>
  </si>
  <si>
    <t>pasp dila</t>
  </si>
  <si>
    <t>Paspalum dilatatum</t>
  </si>
  <si>
    <t>paspalum distichum</t>
  </si>
  <si>
    <t>Paspalum distichum</t>
  </si>
  <si>
    <t>pasp urvi</t>
  </si>
  <si>
    <t>Paspalum urvillei</t>
  </si>
  <si>
    <t>pate seri</t>
  </si>
  <si>
    <t>Patersonia sericea</t>
  </si>
  <si>
    <t>pela aust</t>
  </si>
  <si>
    <t>Pelargonium australe</t>
  </si>
  <si>
    <t>pela inod</t>
  </si>
  <si>
    <t>Pelargonium inodorum</t>
  </si>
  <si>
    <t>pela litt</t>
  </si>
  <si>
    <t>Pelargonium littorale</t>
  </si>
  <si>
    <t>pelargonium</t>
  </si>
  <si>
    <t>Pelargonium sp.</t>
  </si>
  <si>
    <t>pell falc</t>
  </si>
  <si>
    <t>Pellaea falcata</t>
  </si>
  <si>
    <t>pell nana</t>
  </si>
  <si>
    <t>Pellaea nana</t>
  </si>
  <si>
    <t>penn alop</t>
  </si>
  <si>
    <t>Pennisetum alopecuroides</t>
  </si>
  <si>
    <t>penn clan</t>
  </si>
  <si>
    <t>Pennisetum clandestinum</t>
  </si>
  <si>
    <t>pent quad</t>
  </si>
  <si>
    <t>Pentapogon quadrifidus</t>
  </si>
  <si>
    <t>pent airo</t>
  </si>
  <si>
    <t>Pentaschistis airoides</t>
  </si>
  <si>
    <t>pers deci</t>
  </si>
  <si>
    <t>Persicaria decipiens</t>
  </si>
  <si>
    <t>pers hydr</t>
  </si>
  <si>
    <t>Persicaria hydropiper</t>
  </si>
  <si>
    <t>pers prae</t>
  </si>
  <si>
    <t>Persicaria praetermissa</t>
  </si>
  <si>
    <t>pers pros</t>
  </si>
  <si>
    <t>Persicaria prostrata</t>
  </si>
  <si>
    <t>pers line</t>
  </si>
  <si>
    <t>Persoonia linearis</t>
  </si>
  <si>
    <t>pers proc</t>
  </si>
  <si>
    <t>Persoonia procumbens</t>
  </si>
  <si>
    <t>pers rigi</t>
  </si>
  <si>
    <t>Persoonia rigida</t>
  </si>
  <si>
    <t>petr dubi</t>
  </si>
  <si>
    <t>Petrorhagia dubia</t>
  </si>
  <si>
    <t>petr nant</t>
  </si>
  <si>
    <t>Petrorhagia nanteuilii</t>
  </si>
  <si>
    <t>petr velu</t>
  </si>
  <si>
    <t>Petrorhagia velutina</t>
  </si>
  <si>
    <t>phal annu</t>
  </si>
  <si>
    <t>Phalaris annua</t>
  </si>
  <si>
    <t>phal aqua</t>
  </si>
  <si>
    <t>Phalaris aquatica</t>
  </si>
  <si>
    <t>Phalaris paradoxa</t>
  </si>
  <si>
    <t>phalaris</t>
  </si>
  <si>
    <t>Phalaris sp.</t>
  </si>
  <si>
    <t>phil diff</t>
  </si>
  <si>
    <t>Philotheca difformis</t>
  </si>
  <si>
    <t>phle prat</t>
  </si>
  <si>
    <t>Phleum pratense</t>
  </si>
  <si>
    <t>phra aust</t>
  </si>
  <si>
    <t>Phragmites australis</t>
  </si>
  <si>
    <t>phyl nodi</t>
  </si>
  <si>
    <t>Phyla nodiflora</t>
  </si>
  <si>
    <t>phyl dive</t>
  </si>
  <si>
    <t>Phyllangium sulcatum</t>
  </si>
  <si>
    <t>phyl hirt</t>
  </si>
  <si>
    <t>Phyllanthus hirtellus</t>
  </si>
  <si>
    <t>phyl virg</t>
  </si>
  <si>
    <t>Phyllanthus virgatus</t>
  </si>
  <si>
    <t>phyt octa</t>
  </si>
  <si>
    <t>Phytolacca octandra</t>
  </si>
  <si>
    <t>pime curv</t>
  </si>
  <si>
    <t>Pimelea curviflora</t>
  </si>
  <si>
    <t>pime glau</t>
  </si>
  <si>
    <t>Pimelea glauca</t>
  </si>
  <si>
    <t>pime humi</t>
  </si>
  <si>
    <t>Pimelea humilis</t>
  </si>
  <si>
    <t>pime lati</t>
  </si>
  <si>
    <t>Pimelea latifolia</t>
  </si>
  <si>
    <t>pime lini</t>
  </si>
  <si>
    <t>Pimelea linifolia</t>
  </si>
  <si>
    <t>pime micr</t>
  </si>
  <si>
    <t>Pimelea microcephala</t>
  </si>
  <si>
    <t>pimelea</t>
  </si>
  <si>
    <t>Pimelea sp.</t>
  </si>
  <si>
    <t>pinu pine</t>
  </si>
  <si>
    <t>Pinus pinea</t>
  </si>
  <si>
    <t>pinu radi</t>
  </si>
  <si>
    <t>Pinus radiata</t>
  </si>
  <si>
    <t>pitt angu</t>
  </si>
  <si>
    <t>Pittosporum angustifolium</t>
  </si>
  <si>
    <t>plan debi</t>
  </si>
  <si>
    <t>Plantago debilis</t>
  </si>
  <si>
    <t>plan gaud</t>
  </si>
  <si>
    <t>Plantago gaudichaudii</t>
  </si>
  <si>
    <t>plan ghisp</t>
  </si>
  <si>
    <t>Plantago hispida</t>
  </si>
  <si>
    <t>plan lanc</t>
  </si>
  <si>
    <t>Plantago lanceolata</t>
  </si>
  <si>
    <t>plan turr</t>
  </si>
  <si>
    <t>Plantago turrifera</t>
  </si>
  <si>
    <t>plan vari</t>
  </si>
  <si>
    <t>Plantago varia</t>
  </si>
  <si>
    <t>plat form</t>
  </si>
  <si>
    <t>Platylobium formosum</t>
  </si>
  <si>
    <t>plat eric</t>
  </si>
  <si>
    <t>Platysace ericoides</t>
  </si>
  <si>
    <t>plat lanc</t>
  </si>
  <si>
    <t>Platysace lanceolata</t>
  </si>
  <si>
    <t>plec parv</t>
  </si>
  <si>
    <t>Plectranthus parviflorus</t>
  </si>
  <si>
    <t>pleu ruti</t>
  </si>
  <si>
    <t>Pleurosorus rutifolius</t>
  </si>
  <si>
    <t>poa annu</t>
  </si>
  <si>
    <t>Poa annua</t>
  </si>
  <si>
    <t>poa bulb</t>
  </si>
  <si>
    <t>Poa bulbosa</t>
  </si>
  <si>
    <t>poa ensi</t>
  </si>
  <si>
    <t>Poa ensiformis</t>
  </si>
  <si>
    <t>poa helm</t>
  </si>
  <si>
    <t>Poa helmsii</t>
  </si>
  <si>
    <t>poa labi</t>
  </si>
  <si>
    <t>Poa labillardierei</t>
  </si>
  <si>
    <t>poa meio</t>
  </si>
  <si>
    <t>Poa meionectes</t>
  </si>
  <si>
    <t>poa prat</t>
  </si>
  <si>
    <t>Poa pratensis</t>
  </si>
  <si>
    <t>poa sieb</t>
  </si>
  <si>
    <t>Poa sieberiana</t>
  </si>
  <si>
    <t>poa tene</t>
  </si>
  <si>
    <t>Poa tenera</t>
  </si>
  <si>
    <t>poa triv</t>
  </si>
  <si>
    <t>Poa trivialis</t>
  </si>
  <si>
    <t>podo arac</t>
  </si>
  <si>
    <t>Podolepis arachnoidea</t>
  </si>
  <si>
    <t>podo cane</t>
  </si>
  <si>
    <t>Podolepis canescens</t>
  </si>
  <si>
    <t>podo jace</t>
  </si>
  <si>
    <t>Podolepis jaceoides</t>
  </si>
  <si>
    <t>podo negl</t>
  </si>
  <si>
    <t>Podolepis neglecta</t>
  </si>
  <si>
    <t>podolepis</t>
  </si>
  <si>
    <t>Podolepis sp.</t>
  </si>
  <si>
    <t>poly stua</t>
  </si>
  <si>
    <t>Polycalymma stuartii</t>
  </si>
  <si>
    <t>poly tetr</t>
  </si>
  <si>
    <t>Polycarpon tetraphyllum</t>
  </si>
  <si>
    <t>poly japo</t>
  </si>
  <si>
    <t>Polygala japonica</t>
  </si>
  <si>
    <t>poly aren</t>
  </si>
  <si>
    <t>Polygonum arenastrum</t>
  </si>
  <si>
    <t>poly avic</t>
  </si>
  <si>
    <t>Polygonum aviculare</t>
  </si>
  <si>
    <t>poma angu</t>
  </si>
  <si>
    <t>Pomaderris angustifolia</t>
  </si>
  <si>
    <t>poma betu</t>
  </si>
  <si>
    <t>Pomaderris betulina</t>
  </si>
  <si>
    <t>poma erio</t>
  </si>
  <si>
    <t>Pomaderris eriocephala</t>
  </si>
  <si>
    <t>poma prun</t>
  </si>
  <si>
    <t>Pomaderris prunifolia</t>
  </si>
  <si>
    <t>pomaderris</t>
  </si>
  <si>
    <t>Pomaderris sp.</t>
  </si>
  <si>
    <t>poma umbe</t>
  </si>
  <si>
    <t xml:space="preserve">Pomax umbellata </t>
  </si>
  <si>
    <t>popu alba</t>
  </si>
  <si>
    <t>Populus alba</t>
  </si>
  <si>
    <t>popu nigr</t>
  </si>
  <si>
    <t>Populus nigra</t>
  </si>
  <si>
    <t>populus</t>
  </si>
  <si>
    <t>Populus sp.</t>
  </si>
  <si>
    <t>pora micr</t>
  </si>
  <si>
    <t>Poranthera microphylla</t>
  </si>
  <si>
    <t>port oler</t>
  </si>
  <si>
    <t>Portulaca oleracea</t>
  </si>
  <si>
    <t>pote rect</t>
  </si>
  <si>
    <t>Potentilla recta</t>
  </si>
  <si>
    <t>pras brev</t>
  </si>
  <si>
    <t>Prasophyllum brevilabre</t>
  </si>
  <si>
    <t>pras peti</t>
  </si>
  <si>
    <t>Prasophyllum petilum</t>
  </si>
  <si>
    <t>prasophyllum</t>
  </si>
  <si>
    <t>Prasophyllum sp.</t>
  </si>
  <si>
    <t>prob loui</t>
  </si>
  <si>
    <t>Proboscidea louisianica</t>
  </si>
  <si>
    <t>prun vulg</t>
  </si>
  <si>
    <t>Prunella vulgaris</t>
  </si>
  <si>
    <t>prun cera</t>
  </si>
  <si>
    <t>Prunus cerasifera</t>
  </si>
  <si>
    <t>prun dome</t>
  </si>
  <si>
    <t>Prunus domestica</t>
  </si>
  <si>
    <t>prun dulc</t>
  </si>
  <si>
    <t>Prunus dulcis</t>
  </si>
  <si>
    <t>prun pers</t>
  </si>
  <si>
    <t>Prunus persica</t>
  </si>
  <si>
    <t>prunus</t>
  </si>
  <si>
    <t>Prunus sp.</t>
  </si>
  <si>
    <t>pseu lute</t>
  </si>
  <si>
    <t>Pseudognaphalium luteoalbum</t>
  </si>
  <si>
    <t>psil incu</t>
  </si>
  <si>
    <t>Psilurus incurvus</t>
  </si>
  <si>
    <t>pter escu</t>
  </si>
  <si>
    <t>Pteridium esculentum</t>
  </si>
  <si>
    <t>pter bico</t>
  </si>
  <si>
    <t>Pterostylis bicolor</t>
  </si>
  <si>
    <t>pter conc</t>
  </si>
  <si>
    <t>Pterostylis concinna</t>
  </si>
  <si>
    <t>pter cycn</t>
  </si>
  <si>
    <t>Pterostylis cycnocephala</t>
  </si>
  <si>
    <t>pter falc</t>
  </si>
  <si>
    <t>Pterostylis falcata</t>
  </si>
  <si>
    <t>pter furc</t>
  </si>
  <si>
    <t>Pterostylis furcata</t>
  </si>
  <si>
    <t>pter muti</t>
  </si>
  <si>
    <t>Pterostylis mutica</t>
  </si>
  <si>
    <t>pter nuta</t>
  </si>
  <si>
    <t>Pterostylis nutans</t>
  </si>
  <si>
    <t>pter parv</t>
  </si>
  <si>
    <t>Pterostylis parviflora</t>
  </si>
  <si>
    <t>pter pedu</t>
  </si>
  <si>
    <t>Pterostylis pedunculata</t>
  </si>
  <si>
    <t>pter prae</t>
  </si>
  <si>
    <t>Pterostylis praetermissa</t>
  </si>
  <si>
    <t>pter refl</t>
  </si>
  <si>
    <t>Pterostylis reflexa</t>
  </si>
  <si>
    <t>pter revo</t>
  </si>
  <si>
    <t>Pterostylis revoluta</t>
  </si>
  <si>
    <t>pterostylis</t>
  </si>
  <si>
    <t>Pterostylis sp.</t>
  </si>
  <si>
    <t>ptil erub</t>
  </si>
  <si>
    <t>Ptilotus erubescens</t>
  </si>
  <si>
    <t>ptil exal</t>
  </si>
  <si>
    <t>Ptilotus exaltatus</t>
  </si>
  <si>
    <t>ptil macr</t>
  </si>
  <si>
    <t>Ptilotus macrocephalus</t>
  </si>
  <si>
    <t>ptil obov</t>
  </si>
  <si>
    <t>Ptilotus obovatus</t>
  </si>
  <si>
    <t>ptil sess</t>
  </si>
  <si>
    <t>Ptilotus sessilifolius</t>
  </si>
  <si>
    <t>ptil spat</t>
  </si>
  <si>
    <t>Ptilotus spathulatus</t>
  </si>
  <si>
    <t>pull gunn</t>
  </si>
  <si>
    <t>Pullenia gunnii</t>
  </si>
  <si>
    <t>pult camp</t>
  </si>
  <si>
    <t>Pultenaea campbellii</t>
  </si>
  <si>
    <t>pult cina</t>
  </si>
  <si>
    <t>Pultenaea cinerascens</t>
  </si>
  <si>
    <t>pult foli</t>
  </si>
  <si>
    <t>Pultenaea foliolosa</t>
  </si>
  <si>
    <t>pult humi</t>
  </si>
  <si>
    <t>Pultenaea humilis</t>
  </si>
  <si>
    <t>pult laxi</t>
  </si>
  <si>
    <t>Pultenaea laxiflora</t>
  </si>
  <si>
    <t>pult micr</t>
  </si>
  <si>
    <t>Pultenaea microphylla</t>
  </si>
  <si>
    <t>pult poli</t>
  </si>
  <si>
    <t>Pultenaea polifolia</t>
  </si>
  <si>
    <t>pult proc</t>
  </si>
  <si>
    <t>Pultenaea procumbens</t>
  </si>
  <si>
    <t>pult scab</t>
  </si>
  <si>
    <t>Pultenaea scabra</t>
  </si>
  <si>
    <t>pult setu</t>
  </si>
  <si>
    <t>Pultenaea setulosa</t>
  </si>
  <si>
    <t>pultenaea</t>
  </si>
  <si>
    <t>Pultenaea sp.</t>
  </si>
  <si>
    <t>pult spin</t>
  </si>
  <si>
    <t>Pultenaea spinosa</t>
  </si>
  <si>
    <t>pult subs</t>
  </si>
  <si>
    <t>Pultenaea subspicata</t>
  </si>
  <si>
    <t>pult subt</t>
  </si>
  <si>
    <t>Pultenaea subternata</t>
  </si>
  <si>
    <t>pycn chry</t>
  </si>
  <si>
    <t>Pycnosorus chrysanthes</t>
  </si>
  <si>
    <t>pycn glob</t>
  </si>
  <si>
    <t>Pycnosorus globosus</t>
  </si>
  <si>
    <t>pycnosorus</t>
  </si>
  <si>
    <t>Pycnosorus sp.</t>
  </si>
  <si>
    <t>pyc thom</t>
  </si>
  <si>
    <t>Pycnosorus thompsonianus</t>
  </si>
  <si>
    <t>pyra angu</t>
  </si>
  <si>
    <t>Pyracantha angustifolia</t>
  </si>
  <si>
    <t>pyracantha</t>
  </si>
  <si>
    <t>Pyracantha sp.</t>
  </si>
  <si>
    <t>quer ilex</t>
  </si>
  <si>
    <t>Quercus ilex</t>
  </si>
  <si>
    <t>ranu inun</t>
  </si>
  <si>
    <t>Ranunculus inundatus</t>
  </si>
  <si>
    <t>ranu lapp</t>
  </si>
  <si>
    <t>Ranunculus lappaceus</t>
  </si>
  <si>
    <t>rann muri</t>
  </si>
  <si>
    <t>Ranunculus muricatus</t>
  </si>
  <si>
    <t>ranu pach</t>
  </si>
  <si>
    <t>Ranunculus pachycarpus</t>
  </si>
  <si>
    <t>ranu papu</t>
  </si>
  <si>
    <t>Ranunculus papulentus</t>
  </si>
  <si>
    <t>ranu pumi</t>
  </si>
  <si>
    <t>Ranunculus pumilio</t>
  </si>
  <si>
    <t>ranu scle</t>
  </si>
  <si>
    <t>Ranunculus scleratus</t>
  </si>
  <si>
    <t>ranu sess</t>
  </si>
  <si>
    <t>Ranunculus sessiliflorus</t>
  </si>
  <si>
    <t>ranunculus</t>
  </si>
  <si>
    <t>Ranunculus sp.</t>
  </si>
  <si>
    <t>ranu spe</t>
  </si>
  <si>
    <t>Ranunculus sp. (exotic)</t>
  </si>
  <si>
    <t>ranu spn</t>
  </si>
  <si>
    <t>Ranunculus sp. (native)</t>
  </si>
  <si>
    <t>raph raph</t>
  </si>
  <si>
    <t>Raphanus raphanistrum</t>
  </si>
  <si>
    <t>rapi rugo</t>
  </si>
  <si>
    <t>Rapistrum rugosum</t>
  </si>
  <si>
    <t>rese lute</t>
  </si>
  <si>
    <t>Reseda luteola</t>
  </si>
  <si>
    <t>rhod anth</t>
  </si>
  <si>
    <t>Rhodanthe anthemoides</t>
  </si>
  <si>
    <t>rhod cory</t>
  </si>
  <si>
    <t>Rhodanthe corymbiflora</t>
  </si>
  <si>
    <t>rhod flor</t>
  </si>
  <si>
    <t>Rhodanthe floribunda</t>
  </si>
  <si>
    <t>rhodanthe</t>
  </si>
  <si>
    <t>Rhodanthe sp.</t>
  </si>
  <si>
    <t>rhyt proc</t>
  </si>
  <si>
    <t>Rhytidosporum procumbens</t>
  </si>
  <si>
    <t>rich stel</t>
  </si>
  <si>
    <t>Richardia stellaris</t>
  </si>
  <si>
    <t>rici bowm</t>
  </si>
  <si>
    <t>Ricinocarpos bowmanii</t>
  </si>
  <si>
    <t>romu rose</t>
  </si>
  <si>
    <t>Romulea rosea</t>
  </si>
  <si>
    <t>rosa cani</t>
  </si>
  <si>
    <t>Rosa canina</t>
  </si>
  <si>
    <t>Rosa rubiginosa</t>
  </si>
  <si>
    <t>rost adsc</t>
  </si>
  <si>
    <t>Rostellularia adscendens</t>
  </si>
  <si>
    <t>rost pumi</t>
  </si>
  <si>
    <t>Rostraria pumila</t>
  </si>
  <si>
    <t>rubu angl</t>
  </si>
  <si>
    <t>Rubus anglocandicans</t>
  </si>
  <si>
    <t>rubu disc</t>
  </si>
  <si>
    <t>Rubus discolor</t>
  </si>
  <si>
    <t>rubu frut</t>
  </si>
  <si>
    <t>rubu lolu</t>
  </si>
  <si>
    <t>Rubus moluccanus</t>
  </si>
  <si>
    <t>rubu parv</t>
  </si>
  <si>
    <t xml:space="preserve">Rubus parvifolius </t>
  </si>
  <si>
    <t>rubu spe</t>
  </si>
  <si>
    <t>Rubus sp. (exotic)</t>
  </si>
  <si>
    <t>rubu spn</t>
  </si>
  <si>
    <t>Rubus sp. (native)</t>
  </si>
  <si>
    <t>rubu ulmu</t>
  </si>
  <si>
    <t>Rubus ulmifolius</t>
  </si>
  <si>
    <t>rume brow</t>
  </si>
  <si>
    <t>Rumex brownii</t>
  </si>
  <si>
    <t>rume cris</t>
  </si>
  <si>
    <t>Rumex crispus</t>
  </si>
  <si>
    <t>rume dumo</t>
  </si>
  <si>
    <t>Rumex dumosus</t>
  </si>
  <si>
    <t>rume spe</t>
  </si>
  <si>
    <t>Rumex sp. (exotic species)</t>
  </si>
  <si>
    <t>rume spn</t>
  </si>
  <si>
    <t>Rumex sp. (native species)</t>
  </si>
  <si>
    <t>ryti auri</t>
  </si>
  <si>
    <t>Rytidosperma auriculatum</t>
  </si>
  <si>
    <t>ryti bipa</t>
  </si>
  <si>
    <t>Rytidosperma bipartitum</t>
  </si>
  <si>
    <t>ryti caes</t>
  </si>
  <si>
    <t>Rytidosperma caespitosum</t>
  </si>
  <si>
    <t>ryti carp</t>
  </si>
  <si>
    <t>Rytidosperma carphoides</t>
  </si>
  <si>
    <t>ryti dutt</t>
  </si>
  <si>
    <t>Rytidosperma duttonianum</t>
  </si>
  <si>
    <t>ryti eria</t>
  </si>
  <si>
    <t>Rytidosperma erianthum</t>
  </si>
  <si>
    <t>ryti fulv</t>
  </si>
  <si>
    <t>Rytidosperma fulvum</t>
  </si>
  <si>
    <t>ryti geni</t>
  </si>
  <si>
    <t>Rytidosperma geniculatum</t>
  </si>
  <si>
    <t>ryti laev</t>
  </si>
  <si>
    <t>Rytidosperma laeve</t>
  </si>
  <si>
    <t>ryti long</t>
  </si>
  <si>
    <t>Rytidosperma longifolium</t>
  </si>
  <si>
    <t>ryti mont</t>
  </si>
  <si>
    <t>Rytidosperma monticola</t>
  </si>
  <si>
    <t>ryti pall</t>
  </si>
  <si>
    <t>Rytidosperma pallidum</t>
  </si>
  <si>
    <t>ryti peni</t>
  </si>
  <si>
    <t>Rytidosperma penicillatum</t>
  </si>
  <si>
    <t>ryti pilo</t>
  </si>
  <si>
    <t>Rytidosperma pilosum</t>
  </si>
  <si>
    <t>ryti race</t>
  </si>
  <si>
    <t>Rytidosperma racemosum</t>
  </si>
  <si>
    <t>ryti rich</t>
  </si>
  <si>
    <t>Rytidosperma richardsonii</t>
  </si>
  <si>
    <t>ryti seta</t>
  </si>
  <si>
    <t>Rytidosperma setaceum</t>
  </si>
  <si>
    <t>rytidosperma</t>
  </si>
  <si>
    <t>Rytidosperma sp.</t>
  </si>
  <si>
    <t>ryti etenu</t>
  </si>
  <si>
    <t>Rytidosperma tenuius</t>
  </si>
  <si>
    <t>Sali baby</t>
  </si>
  <si>
    <t>Salix babylonica</t>
  </si>
  <si>
    <t>salix</t>
  </si>
  <si>
    <t>Salix sp.</t>
  </si>
  <si>
    <t>sals trag</t>
  </si>
  <si>
    <t>Salsola tragus</t>
  </si>
  <si>
    <t>salv verb</t>
  </si>
  <si>
    <t>Salvia verbenaca</t>
  </si>
  <si>
    <t>sang mino</t>
  </si>
  <si>
    <t>Sanguisorba minor</t>
  </si>
  <si>
    <t>sant acum</t>
  </si>
  <si>
    <t>Santalum acuminatum</t>
  </si>
  <si>
    <t>sant lanc</t>
  </si>
  <si>
    <t>Santalum lanceolatum</t>
  </si>
  <si>
    <t>sapo offi</t>
  </si>
  <si>
    <t>Saponaria officinalis</t>
  </si>
  <si>
    <t>scan pect</t>
  </si>
  <si>
    <t>Scandix pecten-veneris</t>
  </si>
  <si>
    <t>sche aust</t>
  </si>
  <si>
    <t>Schenkia australis</t>
  </si>
  <si>
    <t>schi arei</t>
  </si>
  <si>
    <t>Schinus areira</t>
  </si>
  <si>
    <t>schk pinn</t>
  </si>
  <si>
    <t>Schkuhria pinnata</t>
  </si>
  <si>
    <t>scho vali</t>
  </si>
  <si>
    <t>Schoenoplectus validus</t>
  </si>
  <si>
    <t>scho apog</t>
  </si>
  <si>
    <t>Schoenus apogon</t>
  </si>
  <si>
    <t>scho late</t>
  </si>
  <si>
    <t>Schoenus latelaminatus</t>
  </si>
  <si>
    <t>scle annu</t>
  </si>
  <si>
    <t>Scleranthus anuus</t>
  </si>
  <si>
    <t>scle bifl</t>
  </si>
  <si>
    <t>Scleranthus biflorus</t>
  </si>
  <si>
    <t>scle mack</t>
  </si>
  <si>
    <t>Scleria mackaviensis</t>
  </si>
  <si>
    <t>scle bico</t>
  </si>
  <si>
    <t>Sclerolaena bicornis</t>
  </si>
  <si>
    <t>scle birc</t>
  </si>
  <si>
    <t>Sclerolaena birchii</t>
  </si>
  <si>
    <t>scle diac</t>
  </si>
  <si>
    <t>Sclerolaena diacantha</t>
  </si>
  <si>
    <t>scle stell</t>
  </si>
  <si>
    <t>Sclerolaena stelligera</t>
  </si>
  <si>
    <t>scut humi</t>
  </si>
  <si>
    <t>Scutellaria humilis</t>
  </si>
  <si>
    <t>seba ovat</t>
  </si>
  <si>
    <t>Sebaea ovata</t>
  </si>
  <si>
    <t>sene bath</t>
  </si>
  <si>
    <t>Senecio bathurstianus</t>
  </si>
  <si>
    <t>sene bipi</t>
  </si>
  <si>
    <t>Senecio bipinnatisectus</t>
  </si>
  <si>
    <t>sene dias</t>
  </si>
  <si>
    <t>Senecio diaschides</t>
  </si>
  <si>
    <t>sene glom</t>
  </si>
  <si>
    <t>Senecio glomeratus</t>
  </si>
  <si>
    <t>sene hisp</t>
  </si>
  <si>
    <t>Senecio hispidulus</t>
  </si>
  <si>
    <t>sene jaco</t>
  </si>
  <si>
    <t>Senecio jacobaea</t>
  </si>
  <si>
    <t>sene laut</t>
  </si>
  <si>
    <t>Senecio lautus</t>
  </si>
  <si>
    <t>sene line</t>
  </si>
  <si>
    <t>Senecio linearifolius</t>
  </si>
  <si>
    <t>sene mada</t>
  </si>
  <si>
    <t>Senecio madagascariensis</t>
  </si>
  <si>
    <t>sene pinn</t>
  </si>
  <si>
    <t>Senecio pinnatifolius</t>
  </si>
  <si>
    <t>sene pren</t>
  </si>
  <si>
    <t>Senecio prenanthoides</t>
  </si>
  <si>
    <t>sene quad</t>
  </si>
  <si>
    <t xml:space="preserve">Senecio quadridentatus </t>
  </si>
  <si>
    <t>sene sp1</t>
  </si>
  <si>
    <t>Senecio sp. 1</t>
  </si>
  <si>
    <t>sene spE</t>
  </si>
  <si>
    <t>Senecio sp. E</t>
  </si>
  <si>
    <t>sene tenu</t>
  </si>
  <si>
    <t>Senecio tenuiflorus</t>
  </si>
  <si>
    <t>sene vagu</t>
  </si>
  <si>
    <t>Senecio vagus</t>
  </si>
  <si>
    <t>senn acip</t>
  </si>
  <si>
    <t>Senna aciphylla</t>
  </si>
  <si>
    <t>senn arte</t>
  </si>
  <si>
    <t>Senna artemisioides</t>
  </si>
  <si>
    <t>senn barc</t>
  </si>
  <si>
    <t>Senna barclayana</t>
  </si>
  <si>
    <t>seta glau</t>
  </si>
  <si>
    <t>Setaria glauca</t>
  </si>
  <si>
    <t>seta grac</t>
  </si>
  <si>
    <t>Setaria gracilis</t>
  </si>
  <si>
    <t>seta parv</t>
  </si>
  <si>
    <t>Setaria parviflora</t>
  </si>
  <si>
    <t>seta pumi</t>
  </si>
  <si>
    <t>Setaria pumila</t>
  </si>
  <si>
    <t>setaria</t>
  </si>
  <si>
    <t>Setaria sp.</t>
  </si>
  <si>
    <t>seta vert</t>
  </si>
  <si>
    <t>Setaria verticillata</t>
  </si>
  <si>
    <t>sida coru</t>
  </si>
  <si>
    <t>Sida corrugata</t>
  </si>
  <si>
    <t>sida cunn</t>
  </si>
  <si>
    <t>Sida cunninghami</t>
  </si>
  <si>
    <t>sida rhom</t>
  </si>
  <si>
    <t>Sida rhombifolia</t>
  </si>
  <si>
    <t>sida sp</t>
  </si>
  <si>
    <t>Sida sp.</t>
  </si>
  <si>
    <t>sige aust</t>
  </si>
  <si>
    <t>Sigesbeckia australiensis</t>
  </si>
  <si>
    <t>sige orie</t>
  </si>
  <si>
    <t>Sigesbeckia orientalis</t>
  </si>
  <si>
    <t>sile gall</t>
  </si>
  <si>
    <t>Silene gallica</t>
  </si>
  <si>
    <t>ruti mult</t>
  </si>
  <si>
    <t>Siloxerus multiflorus</t>
  </si>
  <si>
    <t>sily mari</t>
  </si>
  <si>
    <t>Silybum marianum</t>
  </si>
  <si>
    <t>sisy irio</t>
  </si>
  <si>
    <t>Sisymbrium irio</t>
  </si>
  <si>
    <t>sisy offi</t>
  </si>
  <si>
    <t>Sisymbrium officinale</t>
  </si>
  <si>
    <t>sisy irid</t>
  </si>
  <si>
    <t>Sisyrinchium iridifolium</t>
  </si>
  <si>
    <t>sisy rosu</t>
  </si>
  <si>
    <t>Sisyrinchium rosulatum</t>
  </si>
  <si>
    <t>sola amer</t>
  </si>
  <si>
    <t>Solanum americanum</t>
  </si>
  <si>
    <t>sola avic</t>
  </si>
  <si>
    <t>Solanum aviculare</t>
  </si>
  <si>
    <t>sola brow</t>
  </si>
  <si>
    <t>Solanum brownii</t>
  </si>
  <si>
    <t>sola camp</t>
  </si>
  <si>
    <t>Solanum campanulatum</t>
  </si>
  <si>
    <t>sola chen</t>
  </si>
  <si>
    <t>Solanum chenopodioides</t>
  </si>
  <si>
    <t>sola cine</t>
  </si>
  <si>
    <t>Solanum cinereum</t>
  </si>
  <si>
    <t>sola elea</t>
  </si>
  <si>
    <t>Solanum elaeagnifolium</t>
  </si>
  <si>
    <t>sola elli</t>
  </si>
  <si>
    <t>Solanum ellipticum</t>
  </si>
  <si>
    <t>sola erem</t>
  </si>
  <si>
    <t>Solanum eremophilum</t>
  </si>
  <si>
    <t>sola esur</t>
  </si>
  <si>
    <t>Solanum esuriale</t>
  </si>
  <si>
    <t>sola fero</t>
  </si>
  <si>
    <t>Solanum ferocissimum</t>
  </si>
  <si>
    <t>sola line</t>
  </si>
  <si>
    <t>Solanum linearifolium</t>
  </si>
  <si>
    <t>sola nigr</t>
  </si>
  <si>
    <t>Solanum nigrum</t>
  </si>
  <si>
    <t>sola prin</t>
  </si>
  <si>
    <t>Solanum prinophyllum</t>
  </si>
  <si>
    <t>sola pung</t>
  </si>
  <si>
    <t>Solanum pungetium</t>
  </si>
  <si>
    <t>sola radi</t>
  </si>
  <si>
    <t>Solanum radicans</t>
  </si>
  <si>
    <t>sole bell</t>
  </si>
  <si>
    <t>Solenogyne bellioides</t>
  </si>
  <si>
    <t>sole domi</t>
  </si>
  <si>
    <t xml:space="preserve">Solenogyne dominii </t>
  </si>
  <si>
    <t>sole gunn</t>
  </si>
  <si>
    <t>Solenogyne gunnii</t>
  </si>
  <si>
    <t>solenogyne</t>
  </si>
  <si>
    <t>Solenogyne sp.</t>
  </si>
  <si>
    <t>soli sess</t>
  </si>
  <si>
    <t>Soliva sessilis</t>
  </si>
  <si>
    <t>sonc aspe</t>
  </si>
  <si>
    <t>Sonchus asper</t>
  </si>
  <si>
    <t>sonc oler</t>
  </si>
  <si>
    <t>Sonchus oleraceus</t>
  </si>
  <si>
    <t>sonchus</t>
  </si>
  <si>
    <t>Sonchus sp.</t>
  </si>
  <si>
    <t>sorg leio</t>
  </si>
  <si>
    <t>Sorghum leiocladum</t>
  </si>
  <si>
    <t>sper rubr</t>
  </si>
  <si>
    <t>Spergularia rubra</t>
  </si>
  <si>
    <t>spha aust</t>
  </si>
  <si>
    <t>Sphaeromorphaea australis</t>
  </si>
  <si>
    <t>spri aust</t>
  </si>
  <si>
    <t>Spiranthes australis</t>
  </si>
  <si>
    <t>spir chin</t>
  </si>
  <si>
    <t>Spiranthes sinensis</t>
  </si>
  <si>
    <t>spor creb</t>
  </si>
  <si>
    <t>Sporobolus creber</t>
  </si>
  <si>
    <t>spor elon</t>
  </si>
  <si>
    <t>Sporobolus elongatus</t>
  </si>
  <si>
    <t>sporobolus</t>
  </si>
  <si>
    <t>Sporobolus sp.</t>
  </si>
  <si>
    <t>spyr parv</t>
  </si>
  <si>
    <t>Spyridium parvifolium</t>
  </si>
  <si>
    <t>stac arve</t>
  </si>
  <si>
    <t>Stachys arvensis</t>
  </si>
  <si>
    <t>stac mono</t>
  </si>
  <si>
    <t>Stackhousia monogyna</t>
  </si>
  <si>
    <t>stac muri</t>
  </si>
  <si>
    <t>Stackhousia muricata</t>
  </si>
  <si>
    <t>stac vimi</t>
  </si>
  <si>
    <t>Stackhousia viminea</t>
  </si>
  <si>
    <t>stel angu</t>
  </si>
  <si>
    <t>Stellaria angustifolia</t>
  </si>
  <si>
    <t>stel flac</t>
  </si>
  <si>
    <t>Stellaria flaccida</t>
  </si>
  <si>
    <t>stel medi</t>
  </si>
  <si>
    <t>Stellaria media</t>
  </si>
  <si>
    <t>stel mult</t>
  </si>
  <si>
    <t>Stellaria multiflora</t>
  </si>
  <si>
    <t>stel pung</t>
  </si>
  <si>
    <t>Stellaria pungens</t>
  </si>
  <si>
    <t>stua hama</t>
  </si>
  <si>
    <t>Stuartina hamata</t>
  </si>
  <si>
    <t>stua muel</t>
  </si>
  <si>
    <t>Stuartina muelleri</t>
  </si>
  <si>
    <t>stuartina</t>
  </si>
  <si>
    <t>Stuartina sp.</t>
  </si>
  <si>
    <t>styl gram</t>
  </si>
  <si>
    <t>Stylidium graminifolium</t>
  </si>
  <si>
    <t>slylidium</t>
  </si>
  <si>
    <t>Stylidium sp.</t>
  </si>
  <si>
    <t>styp glau</t>
  </si>
  <si>
    <t>Stypandra glauca</t>
  </si>
  <si>
    <t>styp angu</t>
  </si>
  <si>
    <t>Styphelia angustifolia</t>
  </si>
  <si>
    <t>styp laet</t>
  </si>
  <si>
    <t>Styphelia laeta</t>
  </si>
  <si>
    <t>styp trif</t>
  </si>
  <si>
    <t>Styphelia triflora</t>
  </si>
  <si>
    <t>swai affi</t>
  </si>
  <si>
    <t>Swainsona affinis</t>
  </si>
  <si>
    <t>swai behr</t>
  </si>
  <si>
    <t>Swainsona behriana</t>
  </si>
  <si>
    <t>swai barc</t>
  </si>
  <si>
    <t>Swainsona bracteata</t>
  </si>
  <si>
    <t>swai cade</t>
  </si>
  <si>
    <t>Swainsona cadellii</t>
  </si>
  <si>
    <t>swai gale</t>
  </si>
  <si>
    <t>Swainsona galegifolia</t>
  </si>
  <si>
    <t>swai lute</t>
  </si>
  <si>
    <t>Swainsona luteola</t>
  </si>
  <si>
    <t>swai micr</t>
  </si>
  <si>
    <t>Swainsona microphylla</t>
  </si>
  <si>
    <t>swai mont</t>
  </si>
  <si>
    <t>Swainsona monticola</t>
  </si>
  <si>
    <t>swai murr</t>
  </si>
  <si>
    <t>Swainsona murrayana</t>
  </si>
  <si>
    <t>swai orob</t>
  </si>
  <si>
    <t>Swainsona oroboides</t>
  </si>
  <si>
    <t>swai phac</t>
  </si>
  <si>
    <t>Swainsona phacoides</t>
  </si>
  <si>
    <t>swai proc</t>
  </si>
  <si>
    <t>Swainsona procumbens</t>
  </si>
  <si>
    <t>swai rect</t>
  </si>
  <si>
    <t>Swainsona recta</t>
  </si>
  <si>
    <t>swai reti</t>
  </si>
  <si>
    <t>Swainsona reticulata</t>
  </si>
  <si>
    <t>swai seri</t>
  </si>
  <si>
    <t>Swainsona sericea</t>
  </si>
  <si>
    <t>swainsona</t>
  </si>
  <si>
    <t>Swainsona sp.</t>
  </si>
  <si>
    <t>swai swai</t>
  </si>
  <si>
    <t>Swainsona swainsonioides</t>
  </si>
  <si>
    <t>Swiansona behriana</t>
  </si>
  <si>
    <t>syri vulg</t>
  </si>
  <si>
    <t>Syringa vulgaris</t>
  </si>
  <si>
    <t>tage minu</t>
  </si>
  <si>
    <t>Tagetes minuta</t>
  </si>
  <si>
    <t>tara offi</t>
  </si>
  <si>
    <t>Taraxacum officinale</t>
  </si>
  <si>
    <t>temp sten</t>
  </si>
  <si>
    <t>Templetonia stenophylla</t>
  </si>
  <si>
    <t>tetr baue</t>
  </si>
  <si>
    <t>Tetratheca bauerifolia</t>
  </si>
  <si>
    <t>tetr cili</t>
  </si>
  <si>
    <t>Tetratheca ciliata</t>
  </si>
  <si>
    <t>tetr eric</t>
  </si>
  <si>
    <t>Tetratheca ericifolia</t>
  </si>
  <si>
    <t>tetratheca</t>
  </si>
  <si>
    <t>Tetratheca sp.</t>
  </si>
  <si>
    <t>teuc cory</t>
  </si>
  <si>
    <t>Teucrium corymbosum</t>
  </si>
  <si>
    <t>teuc race</t>
  </si>
  <si>
    <t>Teucrium racemosum</t>
  </si>
  <si>
    <t>teuc spA</t>
  </si>
  <si>
    <t>Teucrium sp. A</t>
  </si>
  <si>
    <t>thel caes</t>
  </si>
  <si>
    <t>Thelionema caespitosum</t>
  </si>
  <si>
    <t>thel carn</t>
  </si>
  <si>
    <t>Thelymitra carnea</t>
  </si>
  <si>
    <t>thel ixio</t>
  </si>
  <si>
    <t>Thelymitra ixioides</t>
  </si>
  <si>
    <t>thel pauc</t>
  </si>
  <si>
    <t>Thelymitra pauciflora</t>
  </si>
  <si>
    <t>thel rubr</t>
  </si>
  <si>
    <t>Thelymitra rubra</t>
  </si>
  <si>
    <t>thelymitra</t>
  </si>
  <si>
    <t>Thelymitra sp.</t>
  </si>
  <si>
    <t>them aven</t>
  </si>
  <si>
    <t>Themeda avenacea</t>
  </si>
  <si>
    <t>them tria</t>
  </si>
  <si>
    <t>Themeda triandra</t>
  </si>
  <si>
    <t>thin elon</t>
  </si>
  <si>
    <t>Thinopyrum elongatum</t>
  </si>
  <si>
    <t>thys pate</t>
  </si>
  <si>
    <t>Thysanotus patersonii</t>
  </si>
  <si>
    <t>thysanotus</t>
  </si>
  <si>
    <t>Thysanotus sp.</t>
  </si>
  <si>
    <t>thys tube</t>
  </si>
  <si>
    <t xml:space="preserve">Thysanotus tuberosus </t>
  </si>
  <si>
    <t>tolp barb</t>
  </si>
  <si>
    <t>Tolpis barbata</t>
  </si>
  <si>
    <t>tori nodo</t>
  </si>
  <si>
    <t>Torilis nodosa</t>
  </si>
  <si>
    <t>trag dubi</t>
  </si>
  <si>
    <t>Tragopogon dubius</t>
  </si>
  <si>
    <t>trag porr</t>
  </si>
  <si>
    <t>Tragopogon porrifolius</t>
  </si>
  <si>
    <t>tragopogon</t>
  </si>
  <si>
    <t>Tragopogon sp.</t>
  </si>
  <si>
    <t>tribu terr</t>
  </si>
  <si>
    <t>Tribulus terrestris</t>
  </si>
  <si>
    <t>tric elat</t>
  </si>
  <si>
    <t xml:space="preserve">Tricoryne elatior  </t>
  </si>
  <si>
    <t>trif angu</t>
  </si>
  <si>
    <t>Trifolium angustifolium</t>
  </si>
  <si>
    <t>trif arve</t>
  </si>
  <si>
    <t>Trifolium arvense</t>
  </si>
  <si>
    <t>trif camp</t>
  </si>
  <si>
    <t>Trifolium campestre</t>
  </si>
  <si>
    <t>trif cern</t>
  </si>
  <si>
    <t>Trifolium cernuum</t>
  </si>
  <si>
    <t>trif dubi</t>
  </si>
  <si>
    <t>Trifolium dubium</t>
  </si>
  <si>
    <t>trif frag</t>
  </si>
  <si>
    <t>Trifolium fragiferum</t>
  </si>
  <si>
    <t>trif glom</t>
  </si>
  <si>
    <t>Trifolium glomeratum</t>
  </si>
  <si>
    <t>trif hirt</t>
  </si>
  <si>
    <t>Trifolium hirtum</t>
  </si>
  <si>
    <t>trif inca</t>
  </si>
  <si>
    <t>Trifolium incarnatum</t>
  </si>
  <si>
    <t>trif prat</t>
  </si>
  <si>
    <t>Trifolium pratense</t>
  </si>
  <si>
    <t>trif repe</t>
  </si>
  <si>
    <t>Trifolium repens</t>
  </si>
  <si>
    <t>trif scab</t>
  </si>
  <si>
    <t>Trifolium scabrum</t>
  </si>
  <si>
    <t>trifolium</t>
  </si>
  <si>
    <t>Trifolium sp.</t>
  </si>
  <si>
    <t>trif stri</t>
  </si>
  <si>
    <t>Trifolium striatum</t>
  </si>
  <si>
    <t>trif subt</t>
  </si>
  <si>
    <t>Trifolium subterraneum</t>
  </si>
  <si>
    <t>trif vesi</t>
  </si>
  <si>
    <t>Trifolium vesiculosum</t>
  </si>
  <si>
    <t>trio scar</t>
  </si>
  <si>
    <t>Triodia scariosa</t>
  </si>
  <si>
    <t>trip loli</t>
  </si>
  <si>
    <t>Tripogon loliiformis</t>
  </si>
  <si>
    <t>trip pygm</t>
  </si>
  <si>
    <t>Triptilodiscus pygmaeus</t>
  </si>
  <si>
    <t>trit aest</t>
  </si>
  <si>
    <t>Triticum aestivum</t>
  </si>
  <si>
    <t>typh domi</t>
  </si>
  <si>
    <t>Typha domingensis</t>
  </si>
  <si>
    <t>ulmu proc</t>
  </si>
  <si>
    <t>Ulmus procera</t>
  </si>
  <si>
    <t>uroc pani</t>
  </si>
  <si>
    <t>Urochloa panicoides</t>
  </si>
  <si>
    <t>uroc subq</t>
  </si>
  <si>
    <t>Urochloa subquadripara</t>
  </si>
  <si>
    <t>urti dioi</t>
  </si>
  <si>
    <t>Urtica dioica</t>
  </si>
  <si>
    <t>urti inci</t>
  </si>
  <si>
    <t>Urtica incisa</t>
  </si>
  <si>
    <t>utri dich</t>
  </si>
  <si>
    <t>Utricularia dichotoma</t>
  </si>
  <si>
    <t>vell para</t>
  </si>
  <si>
    <t>Velleia paradoxa</t>
  </si>
  <si>
    <t>verbascum</t>
  </si>
  <si>
    <t>Verbascum sp.</t>
  </si>
  <si>
    <t>verb thap</t>
  </si>
  <si>
    <t>Verbascum thapsus</t>
  </si>
  <si>
    <t>verb virg</t>
  </si>
  <si>
    <t>Verbascum virgatum</t>
  </si>
  <si>
    <t>verb bona</t>
  </si>
  <si>
    <t>Verbena bonariensis</t>
  </si>
  <si>
    <t>verb quad</t>
  </si>
  <si>
    <t>Verbena quadrangularis</t>
  </si>
  <si>
    <t>vero anag</t>
  </si>
  <si>
    <t>Veronica anagallis-aquatica</t>
  </si>
  <si>
    <t>vero arve</t>
  </si>
  <si>
    <t>Veronica arvensis</t>
  </si>
  <si>
    <t>vero caly</t>
  </si>
  <si>
    <t>Veronica calycina</t>
  </si>
  <si>
    <t>vero derw</t>
  </si>
  <si>
    <t>Veronica derwentiana</t>
  </si>
  <si>
    <t>vero grac</t>
  </si>
  <si>
    <t>Veronica gracilis</t>
  </si>
  <si>
    <t>vero hede</t>
  </si>
  <si>
    <t>Veronica hederifolia</t>
  </si>
  <si>
    <t>vero perf</t>
  </si>
  <si>
    <t>Veronica perfoliata</t>
  </si>
  <si>
    <t>vero pleb</t>
  </si>
  <si>
    <t>Veronica plebeia</t>
  </si>
  <si>
    <t>vero serp</t>
  </si>
  <si>
    <t>Veronica serpyllifolia</t>
  </si>
  <si>
    <t>vici disp</t>
  </si>
  <si>
    <t>Vicia disperma</t>
  </si>
  <si>
    <t>vici sati</t>
  </si>
  <si>
    <t>Vicia sativa</t>
  </si>
  <si>
    <t>vicia</t>
  </si>
  <si>
    <t>Vicia sp.</t>
  </si>
  <si>
    <t>viol beto</t>
  </si>
  <si>
    <t>Viola betonicifolia</t>
  </si>
  <si>
    <t>viol cale</t>
  </si>
  <si>
    <t>Viola caleyana</t>
  </si>
  <si>
    <t>viol hede</t>
  </si>
  <si>
    <t>Viola hederacea</t>
  </si>
  <si>
    <t>viol odor</t>
  </si>
  <si>
    <t>Viola odorata</t>
  </si>
  <si>
    <t>vitt cerv</t>
  </si>
  <si>
    <t>Vittadinia cervicularis</t>
  </si>
  <si>
    <t>vitt cune</t>
  </si>
  <si>
    <t>Vittadinia cuneata</t>
  </si>
  <si>
    <t>vitt diss</t>
  </si>
  <si>
    <t>Vittadinia dissecta</t>
  </si>
  <si>
    <t>vitt grac</t>
  </si>
  <si>
    <t>Vittadinia gracilis</t>
  </si>
  <si>
    <t>vitt muel</t>
  </si>
  <si>
    <t>Vittadinia muelleri</t>
  </si>
  <si>
    <t>vitt pter</t>
  </si>
  <si>
    <t>Vittadinia pterochaeta</t>
  </si>
  <si>
    <t>vittadinia</t>
  </si>
  <si>
    <t>Vittadinia sp.</t>
  </si>
  <si>
    <t>vitt sulc</t>
  </si>
  <si>
    <t>Vittadinia sulcata</t>
  </si>
  <si>
    <t>vitt tril</t>
  </si>
  <si>
    <t>Vittadinia triloba</t>
  </si>
  <si>
    <t>vulp brom</t>
  </si>
  <si>
    <t>Vulpia bromoides</t>
  </si>
  <si>
    <t>vulp cili</t>
  </si>
  <si>
    <t>Vulpia ciliata</t>
  </si>
  <si>
    <t>vulp mura</t>
  </si>
  <si>
    <t>Vulpia muralis</t>
  </si>
  <si>
    <t>vulp myur</t>
  </si>
  <si>
    <t>Vulpia myuros</t>
  </si>
  <si>
    <t>vulpia</t>
  </si>
  <si>
    <t>Vulpia sp.</t>
  </si>
  <si>
    <t>wahl comm</t>
  </si>
  <si>
    <t>Wahlenbergia communis</t>
  </si>
  <si>
    <t>wahlenbergia gracilenta</t>
  </si>
  <si>
    <t>Wahlenbergia gracilenta</t>
  </si>
  <si>
    <t>wahlenbergia gracilis</t>
  </si>
  <si>
    <t>Wahlenbergia gracilis</t>
  </si>
  <si>
    <t>wahl gran</t>
  </si>
  <si>
    <t>Wahlenbergia graniticola</t>
  </si>
  <si>
    <t>wahl lute</t>
  </si>
  <si>
    <t>Wahlenbergia luteola</t>
  </si>
  <si>
    <t>wahl plan</t>
  </si>
  <si>
    <t>Wahlenbergia planiflora</t>
  </si>
  <si>
    <t>wahlenbergia</t>
  </si>
  <si>
    <t xml:space="preserve">Wahlenbergia sp.  </t>
  </si>
  <si>
    <t>wahl stri</t>
  </si>
  <si>
    <t>Wahlenbergia stricta</t>
  </si>
  <si>
    <t>walw prol</t>
  </si>
  <si>
    <t>Walwhalleya proluta</t>
  </si>
  <si>
    <t>wahl subx</t>
  </si>
  <si>
    <t>Walwhalleya subxerophila</t>
  </si>
  <si>
    <t>wurm bigl</t>
  </si>
  <si>
    <t>Wurmbea biglandulosa</t>
  </si>
  <si>
    <t>wurm dioi</t>
  </si>
  <si>
    <t xml:space="preserve">Wurmbea dioica </t>
  </si>
  <si>
    <t>wurm lati</t>
  </si>
  <si>
    <t>Wurmbea latifolia</t>
  </si>
  <si>
    <t>xant occi</t>
  </si>
  <si>
    <t>Xanthium occidentale</t>
  </si>
  <si>
    <t>xant orie</t>
  </si>
  <si>
    <t>Xanthium orientale</t>
  </si>
  <si>
    <t>Xanthium spinosum</t>
  </si>
  <si>
    <t>xant aust</t>
  </si>
  <si>
    <t xml:space="preserve">Xanthorrhoea australis                           </t>
  </si>
  <si>
    <t>xant glau</t>
  </si>
  <si>
    <t>Xanthorrhoea glauca</t>
  </si>
  <si>
    <t>xant john</t>
  </si>
  <si>
    <t>Xanthorrhoea johnsonii</t>
  </si>
  <si>
    <t>xanthorrhoea</t>
  </si>
  <si>
    <t>Xanthorrhoea sp.</t>
  </si>
  <si>
    <t xml:space="preserve">Sensitive graminoid </t>
  </si>
  <si>
    <t>xant pilo</t>
  </si>
  <si>
    <t>Xanthosia pilosa</t>
  </si>
  <si>
    <t>xero brac</t>
  </si>
  <si>
    <t>Xerochrysum bracteatum</t>
  </si>
  <si>
    <t>xero visc</t>
  </si>
  <si>
    <t>Xerochrysum viscosum</t>
  </si>
  <si>
    <t>zale gale</t>
  </si>
  <si>
    <t>Zaleya galericulata</t>
  </si>
  <si>
    <t>zorn dyct</t>
  </si>
  <si>
    <t>Zornia dyctiocarpa</t>
  </si>
  <si>
    <t>end</t>
  </si>
  <si>
    <t>acac bail (natural population)</t>
  </si>
  <si>
    <t>Acacia baileyana (part of the natural population based in and around the Cootamundra ditrict)</t>
  </si>
  <si>
    <t>acac bail (non-natural population)</t>
  </si>
  <si>
    <t>Acacia baileyana (derived from escaped or planted plants and not within the natural population based in and around the Cootamundra ditrict)</t>
  </si>
  <si>
    <t>Acacia sp. (locally indigenous and not invasive or planted)</t>
  </si>
  <si>
    <t>rume acet</t>
  </si>
  <si>
    <t>Rumex acetosella</t>
  </si>
  <si>
    <t>acae anse</t>
  </si>
  <si>
    <t>Acaena anserovina</t>
  </si>
  <si>
    <t>caladenia</t>
  </si>
  <si>
    <t>Caladenia sp.</t>
  </si>
  <si>
    <t>acac ixio</t>
  </si>
  <si>
    <t>calochilus</t>
  </si>
  <si>
    <t>Calochilus sp.</t>
  </si>
  <si>
    <t>Note: if the ID is only to the species level and the tool returns a *, and no score is returned, this means that the codes are different for the different species within the genus.  You can search for the genus names in Sp_score_ref, and chose a similar species to return a score if you're reasonably certain that the species in question has a similar response to one of those other species (i.e., a similar Significance Rating).</t>
  </si>
  <si>
    <t>cent cord</t>
  </si>
  <si>
    <t>Centella cordifolia</t>
  </si>
  <si>
    <t>centella</t>
  </si>
  <si>
    <t>Centella sp.</t>
  </si>
  <si>
    <t>chei sieb sieb</t>
  </si>
  <si>
    <t>Cheilanthes sieberi</t>
  </si>
  <si>
    <t>Cheilanthes sieberi subspecies sieberi</t>
  </si>
  <si>
    <t>dipodium</t>
  </si>
  <si>
    <t>Dipodium sp.</t>
  </si>
  <si>
    <r>
      <t>. If only genus is known, then in many cases, they can be entered as just the genus name, thus: "swainsona" for "</t>
    </r>
    <r>
      <rPr>
        <i/>
        <sz val="10"/>
        <rFont val="Arial"/>
        <family val="2"/>
      </rPr>
      <t>Swainsona</t>
    </r>
    <r>
      <rPr>
        <sz val="10"/>
        <rFont val="Arial"/>
        <family val="2"/>
      </rPr>
      <t xml:space="preserve"> sp.", but only if the Significance Ratings are uniform across the genus</t>
    </r>
  </si>
  <si>
    <t>dros hook</t>
  </si>
  <si>
    <t>Drosera hookeri</t>
  </si>
  <si>
    <t>Threatened species</t>
  </si>
  <si>
    <t>gali spn</t>
  </si>
  <si>
    <t>gali spe</t>
  </si>
  <si>
    <t>Galium sp. (exotic species)</t>
  </si>
  <si>
    <t>Galium sp. (native species)</t>
  </si>
  <si>
    <t>geni lini</t>
  </si>
  <si>
    <t>Genista liifolia</t>
  </si>
  <si>
    <t>grev iasp</t>
  </si>
  <si>
    <t>Grevillea iaspicula</t>
  </si>
  <si>
    <t>hibbertia</t>
  </si>
  <si>
    <t>Hibbertia sp.</t>
  </si>
  <si>
    <t>lact Sali</t>
  </si>
  <si>
    <t>Lactuca saligna</t>
  </si>
  <si>
    <t>lepi fasc</t>
  </si>
  <si>
    <t>Lepidium fascicularis</t>
  </si>
  <si>
    <t>lepidium</t>
  </si>
  <si>
    <t>Lepidium sp.</t>
  </si>
  <si>
    <t>Lepidosperma sp.</t>
  </si>
  <si>
    <t>lept spe</t>
  </si>
  <si>
    <t>lept spn</t>
  </si>
  <si>
    <t>Leptospermum sp. (exotic; i.e. not locally indigenous; may be invasive or planted)</t>
  </si>
  <si>
    <t>Leptospermum sp. (locally indigenous and not invasive or planted)</t>
  </si>
  <si>
    <t>Buglossoides arvensis</t>
  </si>
  <si>
    <t>Bugl arve</t>
  </si>
  <si>
    <t>lyci barb</t>
  </si>
  <si>
    <t>Lycium barbarum</t>
  </si>
  <si>
    <t>oxyl oxyl</t>
  </si>
  <si>
    <t>Oxylobium oxylobioides</t>
  </si>
  <si>
    <t>phal para</t>
  </si>
  <si>
    <t>Phebalium glandulosum</t>
  </si>
  <si>
    <t>pheb glan</t>
  </si>
  <si>
    <t>Phebalium squamulosum</t>
  </si>
  <si>
    <t>pheb squa</t>
  </si>
  <si>
    <t>plan spe</t>
  </si>
  <si>
    <t>Plantago sp. (exotic)</t>
  </si>
  <si>
    <t>plan spn</t>
  </si>
  <si>
    <t>Plantago sp. (native)</t>
  </si>
  <si>
    <t>lobe pedu</t>
  </si>
  <si>
    <t>Lobelia pedunculata</t>
  </si>
  <si>
    <t>lobe purp</t>
  </si>
  <si>
    <t>Lobelia purpurascens</t>
  </si>
  <si>
    <t>ptilotus</t>
  </si>
  <si>
    <t>Ptilotus sp.</t>
  </si>
  <si>
    <t>Rubus fruticosus</t>
  </si>
  <si>
    <t>sene spe</t>
  </si>
  <si>
    <t>sene spn</t>
  </si>
  <si>
    <t>Senecio sp. (exotic)</t>
  </si>
  <si>
    <t>Senecio sp. (native)</t>
  </si>
  <si>
    <t>Disturbance-resilient or disturbance-responder tree, shrub or forb</t>
  </si>
  <si>
    <t>urti uren</t>
  </si>
  <si>
    <t>Urtica urens</t>
  </si>
  <si>
    <t>verbena</t>
  </si>
  <si>
    <t>Verbena sp.</t>
  </si>
  <si>
    <t>Veronica sp. (native)</t>
  </si>
  <si>
    <t>vero spn</t>
  </si>
  <si>
    <t>vero spe</t>
  </si>
  <si>
    <t>Veronica sp. (exotic)</t>
  </si>
  <si>
    <t>Anthoxanthum odoratum</t>
  </si>
  <si>
    <t>lepidosperma</t>
  </si>
  <si>
    <t>Capillipedium parviflorum</t>
  </si>
  <si>
    <t>capi parv</t>
  </si>
  <si>
    <t>aris bent</t>
  </si>
  <si>
    <t>Aristida benthamii</t>
  </si>
  <si>
    <t>Austrostipa wakoolica</t>
  </si>
  <si>
    <t>aust wako</t>
  </si>
  <si>
    <t>poa fax</t>
  </si>
  <si>
    <t>Poa fax</t>
  </si>
  <si>
    <t>poa ford</t>
  </si>
  <si>
    <t>Poa fordeana</t>
  </si>
  <si>
    <t>Use the 4 letters of genus and species (4 + 4), unless the species are the following:</t>
  </si>
  <si>
    <t>Nomenclature: all plant names are as in PlantNet (as of May 2022). If older names are used then they won't register. To look up current names in PlantNet, tick the "Show synonyms" box on the search page at: http://plantnet.rbgsyd.nsw.gov.au/search/simple.htm. If new synonyms are subsequently introduced, then use the old names, as in this spreadsheet, or update this spreadsheet with newer names as they appear.</t>
  </si>
  <si>
    <r>
      <t xml:space="preserve">In some cases, widely planted native species may occur in a site, mostly by having been planted, or in some less common examples, by invading from neighboring plantings or gardens.  It is advisable to check to determine whether the species in question falls into this category.  Check for out-of-range </t>
    </r>
    <r>
      <rPr>
        <i/>
        <sz val="10"/>
        <rFont val="Arial"/>
        <family val="2"/>
      </rPr>
      <t>Grevillea</t>
    </r>
    <r>
      <rPr>
        <sz val="10"/>
        <rFont val="Arial"/>
        <family val="2"/>
      </rPr>
      <t xml:space="preserve">, </t>
    </r>
    <r>
      <rPr>
        <i/>
        <sz val="10"/>
        <rFont val="Arial"/>
        <family val="2"/>
      </rPr>
      <t>Callistemon</t>
    </r>
    <r>
      <rPr>
        <sz val="10"/>
        <rFont val="Arial"/>
        <family val="2"/>
      </rPr>
      <t xml:space="preserve">, </t>
    </r>
    <r>
      <rPr>
        <i/>
        <sz val="10"/>
        <rFont val="Arial"/>
        <family val="2"/>
      </rPr>
      <t>Melaleuca, Leptospermum</t>
    </r>
    <r>
      <rPr>
        <sz val="10"/>
        <rFont val="Arial"/>
        <family val="2"/>
      </rPr>
      <t xml:space="preserve"> and </t>
    </r>
    <r>
      <rPr>
        <i/>
        <sz val="10"/>
        <rFont val="Arial"/>
        <family val="2"/>
      </rPr>
      <t>Eucalyptus</t>
    </r>
    <r>
      <rPr>
        <sz val="10"/>
        <rFont val="Arial"/>
        <family val="2"/>
      </rPr>
      <t xml:space="preserve"> spp. (amongst others).</t>
    </r>
  </si>
  <si>
    <t>If entering additional species into this spreadsheet (i.e., species that don't appear in the column to the left, on THIS page), then select a row within the body of the list and enter rows above the selection, as required. Each new species should have a significance rating assigned to it; expert advice may be required to assign significance ratings.  Should you add new species and developing new ratings for them, please send this information, including a short note on justification, to Rainer Rehwinkel by email: rainer.rehwinkel@hotmail.com.</t>
  </si>
  <si>
    <t>Rationale (see Instruction Manual)</t>
  </si>
  <si>
    <r>
      <t>CODE NAMES</t>
    </r>
    <r>
      <rPr>
        <b/>
        <sz val="8"/>
        <rFont val="Arial"/>
        <family val="2"/>
      </rPr>
      <t xml:space="preserve"> - see instructions at right  where these are not unique, or if just the genus name is recorded, or if the species has various Significance Ratings according to cover, see explanation in column H.  </t>
    </r>
  </si>
  <si>
    <t>Subspecies are not considered separately, because not enough is known about their individual responses.</t>
  </si>
  <si>
    <t>FVS Spreadsheet Tool for the South Western Slopes IBRA region v2.0</t>
  </si>
  <si>
    <t>. If 4 + 4 letter codes are not unique, then it's advised to type in the full name as in "brunonia australis", or "brunoniella australis"</t>
  </si>
  <si>
    <t>. For genera with native and exotic species if not identified, these may have different Significance Ratings, for instructions see below</t>
  </si>
  <si>
    <r>
      <t xml:space="preserve">If native and exotic species in a genus cannot be identified, but it contains both native and exotic species, then use the code format, e.g., for </t>
    </r>
    <r>
      <rPr>
        <i/>
        <sz val="10"/>
        <rFont val="Arial"/>
        <family val="2"/>
      </rPr>
      <t>Geranium</t>
    </r>
    <r>
      <rPr>
        <sz val="10"/>
        <rFont val="Arial"/>
        <family val="2"/>
      </rPr>
      <t xml:space="preserve"> spp., use "Gera spn" for a native species and "Gera spe" for an exotic species</t>
    </r>
  </si>
  <si>
    <r>
      <t xml:space="preserve">In many multi-species native genera, when it is difficult to assign your plant to a species, and if all species in the genus have the same Significance Rating, then type in the full genus name (e.g. caladenia) and the name returned will be </t>
    </r>
    <r>
      <rPr>
        <i/>
        <sz val="10"/>
        <rFont val="Arial"/>
        <family val="2"/>
      </rPr>
      <t>Caladenia</t>
    </r>
    <r>
      <rPr>
        <sz val="10"/>
        <rFont val="Arial"/>
        <family val="2"/>
      </rPr>
      <t xml:space="preserve"> sp.</t>
    </r>
  </si>
</sst>
</file>

<file path=xl/styles.xml><?xml version="1.0" encoding="utf-8"?>
<styleSheet xmlns="http://schemas.openxmlformats.org/spreadsheetml/2006/main">
  <fonts count="23">
    <font>
      <sz val="10"/>
      <name val="Arial"/>
    </font>
    <font>
      <sz val="8"/>
      <name val="Arial"/>
      <family val="2"/>
    </font>
    <font>
      <sz val="10"/>
      <name val="Arial"/>
      <family val="2"/>
    </font>
    <font>
      <b/>
      <sz val="10"/>
      <name val="Arial"/>
      <family val="2"/>
    </font>
    <font>
      <sz val="10"/>
      <color indexed="10"/>
      <name val="Arial"/>
      <family val="2"/>
    </font>
    <font>
      <sz val="10"/>
      <color indexed="12"/>
      <name val="Arial"/>
      <family val="2"/>
    </font>
    <font>
      <b/>
      <sz val="11"/>
      <name val="Arial"/>
      <family val="2"/>
    </font>
    <font>
      <sz val="11"/>
      <name val="Arial"/>
      <family val="2"/>
    </font>
    <font>
      <sz val="10"/>
      <color indexed="9"/>
      <name val="Arial"/>
      <family val="2"/>
    </font>
    <font>
      <b/>
      <sz val="10"/>
      <color indexed="9"/>
      <name val="Arial"/>
      <family val="2"/>
    </font>
    <font>
      <b/>
      <sz val="12"/>
      <name val="Arial"/>
      <family val="2"/>
    </font>
    <font>
      <b/>
      <i/>
      <sz val="12"/>
      <name val="Arial"/>
      <family val="2"/>
    </font>
    <font>
      <sz val="12"/>
      <name val="Arial"/>
      <family val="2"/>
    </font>
    <font>
      <i/>
      <sz val="10"/>
      <name val="Arial"/>
      <family val="2"/>
    </font>
    <font>
      <b/>
      <sz val="10"/>
      <color indexed="10"/>
      <name val="Arial"/>
      <family val="2"/>
    </font>
    <font>
      <b/>
      <sz val="8"/>
      <name val="Arial"/>
      <family val="2"/>
    </font>
    <font>
      <b/>
      <sz val="19"/>
      <name val="Arial"/>
      <family val="2"/>
    </font>
    <font>
      <b/>
      <sz val="11"/>
      <color theme="1"/>
      <name val="Calibri"/>
      <family val="2"/>
      <scheme val="minor"/>
    </font>
    <font>
      <sz val="10"/>
      <color rgb="FFFF0000"/>
      <name val="Arial"/>
      <family val="2"/>
    </font>
    <font>
      <sz val="10"/>
      <color theme="0"/>
      <name val="Arial"/>
      <family val="2"/>
    </font>
    <font>
      <sz val="11"/>
      <name val="Calibri"/>
      <family val="2"/>
    </font>
    <font>
      <sz val="11"/>
      <name val="Calibri"/>
      <family val="2"/>
      <scheme val="minor"/>
    </font>
    <font>
      <b/>
      <sz val="15"/>
      <name val="Arial"/>
      <family val="2"/>
    </font>
  </fonts>
  <fills count="12">
    <fill>
      <patternFill patternType="none"/>
    </fill>
    <fill>
      <patternFill patternType="gray125"/>
    </fill>
    <fill>
      <patternFill patternType="solid">
        <fgColor indexed="51"/>
        <bgColor indexed="64"/>
      </patternFill>
    </fill>
    <fill>
      <patternFill patternType="solid">
        <fgColor indexed="15"/>
        <bgColor indexed="64"/>
      </patternFill>
    </fill>
    <fill>
      <patternFill patternType="solid">
        <fgColor indexed="13"/>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theme="5" tint="0.59999389629810485"/>
        <bgColor indexed="64"/>
      </patternFill>
    </fill>
  </fills>
  <borders count="38">
    <border>
      <left/>
      <right/>
      <top/>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thick">
        <color indexed="64"/>
      </right>
      <top style="medium">
        <color indexed="64"/>
      </top>
      <bottom style="thick">
        <color indexed="64"/>
      </bottom>
      <diagonal/>
    </border>
    <border>
      <left style="thick">
        <color indexed="64"/>
      </left>
      <right style="medium">
        <color indexed="64"/>
      </right>
      <top style="medium">
        <color indexed="64"/>
      </top>
      <bottom style="thick">
        <color indexed="64"/>
      </bottom>
      <diagonal/>
    </border>
    <border>
      <left style="medium">
        <color indexed="64"/>
      </left>
      <right style="thick">
        <color indexed="64"/>
      </right>
      <top style="thick">
        <color indexed="64"/>
      </top>
      <bottom style="thick">
        <color indexed="64"/>
      </bottom>
      <diagonal/>
    </border>
    <border>
      <left style="thick">
        <color indexed="64"/>
      </left>
      <right style="medium">
        <color indexed="64"/>
      </right>
      <top style="thick">
        <color indexed="64"/>
      </top>
      <bottom style="thick">
        <color indexed="64"/>
      </bottom>
      <diagonal/>
    </border>
    <border>
      <left style="medium">
        <color indexed="64"/>
      </left>
      <right style="thick">
        <color indexed="64"/>
      </right>
      <top style="thick">
        <color indexed="64"/>
      </top>
      <bottom style="medium">
        <color indexed="64"/>
      </bottom>
      <diagonal/>
    </border>
    <border>
      <left style="thick">
        <color indexed="64"/>
      </left>
      <right style="medium">
        <color indexed="64"/>
      </right>
      <top style="thick">
        <color indexed="64"/>
      </top>
      <bottom style="medium">
        <color indexed="64"/>
      </bottom>
      <diagonal/>
    </border>
    <border>
      <left/>
      <right style="medium">
        <color indexed="64"/>
      </right>
      <top style="medium">
        <color indexed="64"/>
      </top>
      <bottom style="dotted">
        <color indexed="64"/>
      </bottom>
      <diagonal/>
    </border>
    <border>
      <left/>
      <right style="medium">
        <color indexed="64"/>
      </right>
      <top style="dotted">
        <color indexed="64"/>
      </top>
      <bottom style="dotted">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right/>
      <top style="medium">
        <color indexed="64"/>
      </top>
      <bottom style="dotted">
        <color indexed="64"/>
      </bottom>
      <diagonal/>
    </border>
    <border>
      <left/>
      <right/>
      <top style="dotted">
        <color indexed="64"/>
      </top>
      <bottom style="dotted">
        <color indexed="64"/>
      </bottom>
      <diagonal/>
    </border>
  </borders>
  <cellStyleXfs count="1">
    <xf numFmtId="0" fontId="0" fillId="0" borderId="0"/>
  </cellStyleXfs>
  <cellXfs count="169">
    <xf numFmtId="0" fontId="0" fillId="0" borderId="0" xfId="0"/>
    <xf numFmtId="0" fontId="3" fillId="0" borderId="0" xfId="0" applyFont="1"/>
    <xf numFmtId="0" fontId="2" fillId="0" borderId="0" xfId="0" applyFont="1"/>
    <xf numFmtId="0" fontId="3" fillId="0" borderId="0" xfId="0" applyFont="1" applyAlignment="1">
      <alignment vertical="top" wrapText="1"/>
    </xf>
    <xf numFmtId="0" fontId="8" fillId="0" borderId="0" xfId="0" applyFont="1"/>
    <xf numFmtId="0" fontId="9" fillId="0" borderId="0" xfId="0" applyFont="1" applyAlignment="1">
      <alignment vertical="top" wrapText="1"/>
    </xf>
    <xf numFmtId="0" fontId="3"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0" fontId="3" fillId="2" borderId="3" xfId="0" applyFont="1" applyFill="1" applyBorder="1" applyAlignment="1">
      <alignment horizontal="right" vertical="top" wrapText="1"/>
    </xf>
    <xf numFmtId="0" fontId="2" fillId="0" borderId="6" xfId="0" applyFont="1" applyBorder="1" applyAlignment="1">
      <alignment horizontal="center"/>
    </xf>
    <xf numFmtId="14" fontId="3" fillId="3" borderId="3" xfId="0" applyNumberFormat="1" applyFont="1" applyFill="1" applyBorder="1"/>
    <xf numFmtId="0" fontId="2" fillId="5" borderId="8" xfId="0" applyFont="1" applyFill="1" applyBorder="1"/>
    <xf numFmtId="0" fontId="12" fillId="0" borderId="0" xfId="0" applyFont="1"/>
    <xf numFmtId="0" fontId="12" fillId="0" borderId="0" xfId="0" applyFont="1" applyAlignment="1">
      <alignment horizontal="center"/>
    </xf>
    <xf numFmtId="0" fontId="10" fillId="0" borderId="0" xfId="0" applyFont="1" applyAlignment="1">
      <alignment horizontal="center"/>
    </xf>
    <xf numFmtId="0" fontId="10" fillId="5" borderId="3" xfId="0" applyFont="1" applyFill="1" applyBorder="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3" fillId="6" borderId="3" xfId="0" applyFont="1" applyFill="1" applyBorder="1" applyAlignment="1">
      <alignment horizontal="center" vertical="center" wrapText="1"/>
    </xf>
    <xf numFmtId="0" fontId="3" fillId="6" borderId="3" xfId="0" applyFont="1" applyFill="1" applyBorder="1" applyAlignment="1">
      <alignment horizontal="center"/>
    </xf>
    <xf numFmtId="2" fontId="3" fillId="6" borderId="3" xfId="0" applyNumberFormat="1" applyFont="1" applyFill="1" applyBorder="1" applyAlignment="1">
      <alignment horizontal="center"/>
    </xf>
    <xf numFmtId="0" fontId="3" fillId="2" borderId="7"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17" fillId="7" borderId="9" xfId="0" applyFont="1" applyFill="1" applyBorder="1" applyAlignment="1">
      <alignment horizontal="center" vertical="center"/>
    </xf>
    <xf numFmtId="0" fontId="17" fillId="7" borderId="10" xfId="0" applyFont="1" applyFill="1" applyBorder="1" applyAlignment="1">
      <alignment horizontal="center" vertical="center"/>
    </xf>
    <xf numFmtId="0" fontId="17" fillId="7" borderId="11" xfId="0" applyFont="1" applyFill="1" applyBorder="1" applyAlignment="1">
      <alignment horizontal="center" vertical="center"/>
    </xf>
    <xf numFmtId="0" fontId="0" fillId="7" borderId="4" xfId="0" applyFill="1" applyBorder="1" applyAlignment="1">
      <alignment horizontal="center"/>
    </xf>
    <xf numFmtId="0" fontId="0" fillId="7" borderId="5" xfId="0" applyFill="1" applyBorder="1" applyAlignment="1">
      <alignment horizontal="center"/>
    </xf>
    <xf numFmtId="0" fontId="2" fillId="5" borderId="12" xfId="0" applyFont="1" applyFill="1" applyBorder="1" applyAlignment="1">
      <alignment horizontal="center"/>
    </xf>
    <xf numFmtId="2" fontId="3" fillId="7" borderId="13" xfId="0" applyNumberFormat="1" applyFont="1" applyFill="1" applyBorder="1" applyAlignment="1">
      <alignment horizontal="center"/>
    </xf>
    <xf numFmtId="2" fontId="3" fillId="7" borderId="14" xfId="0" applyNumberFormat="1" applyFont="1" applyFill="1" applyBorder="1" applyAlignment="1">
      <alignment horizontal="center"/>
    </xf>
    <xf numFmtId="2" fontId="3" fillId="7" borderId="15" xfId="0" applyNumberFormat="1" applyFont="1" applyFill="1" applyBorder="1" applyAlignment="1">
      <alignment horizontal="center"/>
    </xf>
    <xf numFmtId="2" fontId="3" fillId="7" borderId="16" xfId="0" applyNumberFormat="1" applyFont="1" applyFill="1" applyBorder="1" applyAlignment="1">
      <alignment horizontal="center"/>
    </xf>
    <xf numFmtId="0" fontId="4" fillId="0" borderId="0" xfId="0" applyFont="1"/>
    <xf numFmtId="0" fontId="5" fillId="0" borderId="0" xfId="0" applyFont="1"/>
    <xf numFmtId="0" fontId="3" fillId="0" borderId="8" xfId="0" applyFont="1" applyBorder="1" applyAlignment="1">
      <alignment horizontal="center"/>
    </xf>
    <xf numFmtId="0" fontId="3" fillId="7" borderId="3" xfId="0" applyFont="1" applyFill="1" applyBorder="1" applyAlignment="1">
      <alignment horizontal="center" vertical="center" wrapText="1"/>
    </xf>
    <xf numFmtId="0" fontId="3" fillId="7" borderId="3" xfId="0" applyFont="1" applyFill="1" applyBorder="1" applyAlignment="1">
      <alignment horizontal="center"/>
    </xf>
    <xf numFmtId="0" fontId="17" fillId="7" borderId="9" xfId="0" applyFont="1" applyFill="1" applyBorder="1" applyAlignment="1">
      <alignment horizontal="center" vertical="center" wrapText="1"/>
    </xf>
    <xf numFmtId="0" fontId="3" fillId="3" borderId="3" xfId="0" applyFont="1" applyFill="1" applyBorder="1" applyAlignment="1">
      <alignment horizontal="center" vertical="top" wrapText="1"/>
    </xf>
    <xf numFmtId="0" fontId="3" fillId="3" borderId="3" xfId="0" applyFont="1" applyFill="1" applyBorder="1" applyAlignment="1">
      <alignment vertical="top" wrapText="1"/>
    </xf>
    <xf numFmtId="0" fontId="15" fillId="2" borderId="3" xfId="0" applyFont="1" applyFill="1" applyBorder="1" applyAlignment="1">
      <alignment horizontal="right" vertical="top" wrapText="1"/>
    </xf>
    <xf numFmtId="0" fontId="6" fillId="8" borderId="8" xfId="0" applyFont="1" applyFill="1" applyBorder="1" applyAlignment="1">
      <alignment horizontal="center" vertical="center"/>
    </xf>
    <xf numFmtId="0" fontId="3" fillId="9" borderId="3" xfId="0" applyFont="1" applyFill="1" applyBorder="1" applyAlignment="1">
      <alignment horizontal="center" vertical="center" wrapText="1"/>
    </xf>
    <xf numFmtId="0" fontId="19" fillId="0" borderId="0" xfId="0" applyFont="1"/>
    <xf numFmtId="0" fontId="19" fillId="0" borderId="0" xfId="0" applyFont="1" applyAlignment="1">
      <alignment horizontal="center"/>
    </xf>
    <xf numFmtId="0" fontId="1" fillId="8" borderId="2" xfId="0" applyFont="1" applyFill="1" applyBorder="1" applyAlignment="1">
      <alignment vertical="top"/>
    </xf>
    <xf numFmtId="0" fontId="18" fillId="0" borderId="0" xfId="0" applyFont="1"/>
    <xf numFmtId="0" fontId="2" fillId="0" borderId="2" xfId="0" applyFont="1" applyBorder="1"/>
    <xf numFmtId="0" fontId="2" fillId="9" borderId="20" xfId="0" applyFont="1" applyFill="1" applyBorder="1" applyAlignment="1">
      <alignment horizontal="center"/>
    </xf>
    <xf numFmtId="0" fontId="3" fillId="9" borderId="0" xfId="0" applyFont="1" applyFill="1" applyAlignment="1">
      <alignment horizontal="center" vertical="center" wrapText="1"/>
    </xf>
    <xf numFmtId="0" fontId="21" fillId="0" borderId="0" xfId="0" applyFont="1"/>
    <xf numFmtId="0" fontId="21" fillId="0" borderId="0" xfId="0" applyFont="1" applyAlignment="1">
      <alignment horizontal="center"/>
    </xf>
    <xf numFmtId="0" fontId="3" fillId="0" borderId="23" xfId="0" applyFont="1" applyBorder="1" applyAlignment="1">
      <alignment horizontal="center"/>
    </xf>
    <xf numFmtId="0" fontId="3" fillId="0" borderId="19" xfId="0" applyFont="1" applyBorder="1" applyAlignment="1">
      <alignment horizontal="center"/>
    </xf>
    <xf numFmtId="0" fontId="0" fillId="0" borderId="8" xfId="0" applyBorder="1"/>
    <xf numFmtId="0" fontId="2" fillId="0" borderId="0" xfId="0" applyFont="1" applyAlignment="1">
      <alignment vertical="center"/>
    </xf>
    <xf numFmtId="0" fontId="3" fillId="0" borderId="0" xfId="0" applyFont="1" applyAlignment="1">
      <alignment horizontal="right" vertical="center"/>
    </xf>
    <xf numFmtId="0" fontId="3" fillId="3" borderId="3" xfId="0" applyFont="1" applyFill="1" applyBorder="1" applyAlignment="1">
      <alignment horizontal="center" vertical="center" wrapText="1"/>
    </xf>
    <xf numFmtId="0" fontId="3" fillId="0" borderId="0" xfId="0" applyFont="1" applyAlignment="1">
      <alignment horizontal="left" vertical="center"/>
    </xf>
    <xf numFmtId="0" fontId="8" fillId="0" borderId="0" xfId="0" applyFont="1" applyAlignment="1">
      <alignment vertical="center"/>
    </xf>
    <xf numFmtId="0" fontId="2" fillId="5" borderId="24" xfId="0" applyFont="1" applyFill="1" applyBorder="1"/>
    <xf numFmtId="0" fontId="2" fillId="5" borderId="24" xfId="0" applyFont="1" applyFill="1" applyBorder="1" applyAlignment="1">
      <alignment horizontal="center"/>
    </xf>
    <xf numFmtId="0" fontId="2" fillId="5" borderId="25" xfId="0" applyFont="1" applyFill="1" applyBorder="1"/>
    <xf numFmtId="0" fontId="2" fillId="5" borderId="25" xfId="0" applyFont="1" applyFill="1" applyBorder="1" applyAlignment="1">
      <alignment horizontal="center"/>
    </xf>
    <xf numFmtId="0" fontId="0" fillId="0" borderId="24" xfId="0" applyBorder="1"/>
    <xf numFmtId="0" fontId="3" fillId="0" borderId="24" xfId="0" applyFont="1" applyBorder="1" applyAlignment="1">
      <alignment horizontal="center"/>
    </xf>
    <xf numFmtId="0" fontId="0" fillId="0" borderId="25" xfId="0" applyBorder="1"/>
    <xf numFmtId="0" fontId="3" fillId="0" borderId="25" xfId="0" applyFont="1" applyBorder="1" applyAlignment="1">
      <alignment horizontal="center"/>
    </xf>
    <xf numFmtId="0" fontId="3" fillId="2" borderId="26" xfId="0" applyFont="1" applyFill="1" applyBorder="1" applyAlignment="1">
      <alignment horizontal="right" vertical="center"/>
    </xf>
    <xf numFmtId="0" fontId="10" fillId="4" borderId="27" xfId="0" applyFont="1" applyFill="1" applyBorder="1" applyAlignment="1">
      <alignment horizontal="center" vertical="center"/>
    </xf>
    <xf numFmtId="0" fontId="3" fillId="2" borderId="28" xfId="0" applyFont="1" applyFill="1" applyBorder="1" applyAlignment="1">
      <alignment horizontal="right" vertical="center"/>
    </xf>
    <xf numFmtId="0" fontId="10" fillId="4" borderId="29" xfId="0" applyFont="1" applyFill="1" applyBorder="1" applyAlignment="1">
      <alignment horizontal="center" vertical="center"/>
    </xf>
    <xf numFmtId="0" fontId="3" fillId="2" borderId="30" xfId="0" applyFont="1" applyFill="1" applyBorder="1" applyAlignment="1">
      <alignment horizontal="right" vertical="center"/>
    </xf>
    <xf numFmtId="0" fontId="3" fillId="2" borderId="28" xfId="0" applyFont="1" applyFill="1" applyBorder="1" applyAlignment="1">
      <alignment horizontal="right" vertical="center" wrapText="1"/>
    </xf>
    <xf numFmtId="2" fontId="10" fillId="4" borderId="31" xfId="0" applyNumberFormat="1" applyFont="1" applyFill="1" applyBorder="1" applyAlignment="1">
      <alignment horizontal="center" vertical="center"/>
    </xf>
    <xf numFmtId="0" fontId="2" fillId="8" borderId="32" xfId="0" applyFont="1" applyFill="1" applyBorder="1" applyAlignment="1">
      <alignment horizontal="center"/>
    </xf>
    <xf numFmtId="0" fontId="2" fillId="8" borderId="33" xfId="0" applyFont="1" applyFill="1" applyBorder="1" applyAlignment="1">
      <alignment horizontal="center"/>
    </xf>
    <xf numFmtId="0" fontId="7" fillId="8" borderId="34" xfId="0" applyFont="1" applyFill="1" applyBorder="1" applyAlignment="1">
      <alignment vertical="center"/>
    </xf>
    <xf numFmtId="0" fontId="2" fillId="8" borderId="35" xfId="0" applyFont="1" applyFill="1" applyBorder="1" applyAlignment="1">
      <alignment horizontal="center"/>
    </xf>
    <xf numFmtId="0" fontId="7" fillId="8" borderId="36" xfId="0" applyFont="1" applyFill="1" applyBorder="1" applyAlignment="1">
      <alignment vertical="center"/>
    </xf>
    <xf numFmtId="0" fontId="7" fillId="8" borderId="37" xfId="0" applyFont="1" applyFill="1" applyBorder="1" applyAlignment="1">
      <alignment vertical="center"/>
    </xf>
    <xf numFmtId="0" fontId="6" fillId="8" borderId="24" xfId="0" applyFont="1" applyFill="1" applyBorder="1" applyAlignment="1">
      <alignment horizontal="center" vertical="center"/>
    </xf>
    <xf numFmtId="0" fontId="6" fillId="8" borderId="25" xfId="0" applyFont="1" applyFill="1" applyBorder="1" applyAlignment="1">
      <alignment horizontal="center" vertical="center"/>
    </xf>
    <xf numFmtId="2" fontId="22" fillId="4" borderId="3" xfId="0" applyNumberFormat="1" applyFont="1" applyFill="1" applyBorder="1" applyAlignment="1">
      <alignment horizontal="center" vertical="center"/>
    </xf>
    <xf numFmtId="0" fontId="22" fillId="2" borderId="3" xfId="0" applyFont="1" applyFill="1" applyBorder="1" applyAlignment="1">
      <alignment horizontal="center" vertical="center" wrapText="1"/>
    </xf>
    <xf numFmtId="0" fontId="2" fillId="8" borderId="19" xfId="0" applyFont="1" applyFill="1" applyBorder="1" applyAlignment="1">
      <alignment horizontal="left" vertical="top" wrapText="1"/>
    </xf>
    <xf numFmtId="0" fontId="1" fillId="8" borderId="2" xfId="0" applyFont="1" applyFill="1" applyBorder="1" applyAlignment="1">
      <alignment horizontal="center" vertical="top"/>
    </xf>
    <xf numFmtId="0" fontId="2" fillId="0" borderId="0" xfId="0" applyFont="1" applyBorder="1"/>
    <xf numFmtId="0" fontId="2" fillId="0" borderId="0" xfId="0" applyFont="1" applyBorder="1" applyAlignment="1"/>
    <xf numFmtId="0" fontId="2" fillId="0" borderId="19" xfId="0" applyFont="1" applyBorder="1" applyAlignment="1"/>
    <xf numFmtId="0" fontId="2" fillId="0" borderId="0" xfId="0" applyFont="1" applyAlignment="1"/>
    <xf numFmtId="0" fontId="2" fillId="8" borderId="0" xfId="0" applyFont="1" applyFill="1" applyBorder="1" applyAlignment="1"/>
    <xf numFmtId="0" fontId="2" fillId="8" borderId="19" xfId="0" applyFont="1" applyFill="1" applyBorder="1" applyAlignment="1"/>
    <xf numFmtId="0" fontId="2" fillId="8" borderId="0" xfId="0" applyFont="1" applyFill="1" applyBorder="1" applyAlignment="1">
      <alignment horizontal="left" vertical="top" wrapText="1"/>
    </xf>
    <xf numFmtId="0" fontId="10" fillId="4" borderId="31" xfId="0" applyNumberFormat="1" applyFont="1" applyFill="1" applyBorder="1" applyAlignment="1">
      <alignment horizontal="center" vertical="center"/>
    </xf>
    <xf numFmtId="0" fontId="3" fillId="10" borderId="20" xfId="0" applyFont="1" applyFill="1" applyBorder="1" applyAlignment="1">
      <alignment horizontal="center" vertical="center"/>
    </xf>
    <xf numFmtId="0" fontId="3" fillId="10" borderId="22" xfId="0" applyFont="1" applyFill="1" applyBorder="1" applyAlignment="1">
      <alignment horizontal="center" vertical="center"/>
    </xf>
    <xf numFmtId="0" fontId="16" fillId="2" borderId="20" xfId="0" applyFont="1" applyFill="1" applyBorder="1" applyAlignment="1">
      <alignment horizontal="center" vertical="center"/>
    </xf>
    <xf numFmtId="0" fontId="16" fillId="2" borderId="21" xfId="0" applyFont="1" applyFill="1" applyBorder="1" applyAlignment="1">
      <alignment horizontal="center" vertical="center"/>
    </xf>
    <xf numFmtId="0" fontId="16" fillId="2" borderId="22" xfId="0" applyFont="1" applyFill="1" applyBorder="1" applyAlignment="1">
      <alignment horizontal="center" vertical="center"/>
    </xf>
    <xf numFmtId="0" fontId="3" fillId="9" borderId="20" xfId="0" applyFont="1" applyFill="1" applyBorder="1" applyAlignment="1">
      <alignment horizontal="center" vertical="center"/>
    </xf>
    <xf numFmtId="0" fontId="3" fillId="9" borderId="21" xfId="0" applyFont="1" applyFill="1" applyBorder="1" applyAlignment="1">
      <alignment horizontal="center" vertical="center"/>
    </xf>
    <xf numFmtId="0" fontId="3" fillId="9" borderId="22" xfId="0" applyFont="1" applyFill="1" applyBorder="1" applyAlignment="1">
      <alignment horizontal="center" vertical="center"/>
    </xf>
    <xf numFmtId="0" fontId="10" fillId="9" borderId="20" xfId="0" applyFont="1" applyFill="1" applyBorder="1" applyAlignment="1">
      <alignment horizontal="center" vertical="center"/>
    </xf>
    <xf numFmtId="0" fontId="10" fillId="9" borderId="21" xfId="0" applyFont="1" applyFill="1" applyBorder="1" applyAlignment="1">
      <alignment horizontal="center" vertical="center"/>
    </xf>
    <xf numFmtId="0" fontId="10" fillId="9" borderId="22" xfId="0" applyFont="1" applyFill="1" applyBorder="1" applyAlignment="1">
      <alignment horizontal="center" vertical="center"/>
    </xf>
    <xf numFmtId="0" fontId="3" fillId="5" borderId="20" xfId="0" applyFont="1" applyFill="1" applyBorder="1" applyAlignment="1">
      <alignment horizontal="center" vertical="center"/>
    </xf>
    <xf numFmtId="0" fontId="3" fillId="5" borderId="22" xfId="0" applyFont="1" applyFill="1" applyBorder="1" applyAlignment="1">
      <alignment horizontal="center" vertical="center"/>
    </xf>
    <xf numFmtId="0" fontId="10" fillId="10" borderId="20" xfId="0" applyFont="1" applyFill="1" applyBorder="1" applyAlignment="1">
      <alignment horizontal="center" vertical="center" wrapText="1"/>
    </xf>
    <xf numFmtId="0" fontId="10" fillId="10" borderId="21" xfId="0" applyFont="1" applyFill="1" applyBorder="1" applyAlignment="1">
      <alignment horizontal="center" vertical="center" wrapText="1"/>
    </xf>
    <xf numFmtId="0" fontId="10" fillId="10" borderId="22" xfId="0" applyFont="1" applyFill="1" applyBorder="1" applyAlignment="1">
      <alignment horizontal="center" vertical="center" wrapText="1"/>
    </xf>
    <xf numFmtId="0" fontId="10" fillId="2" borderId="20" xfId="0" applyFont="1" applyFill="1" applyBorder="1" applyAlignment="1">
      <alignment horizontal="center" vertical="center" wrapText="1"/>
    </xf>
    <xf numFmtId="0" fontId="10" fillId="2" borderId="21" xfId="0" applyFont="1" applyFill="1" applyBorder="1" applyAlignment="1">
      <alignment horizontal="center" vertical="center" wrapText="1"/>
    </xf>
    <xf numFmtId="0" fontId="10" fillId="2" borderId="22"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10" borderId="1" xfId="0" applyFont="1" applyFill="1" applyBorder="1" applyAlignment="1">
      <alignment horizontal="center" vertical="center"/>
    </xf>
    <xf numFmtId="0" fontId="3" fillId="10" borderId="6" xfId="0" applyFont="1" applyFill="1" applyBorder="1" applyAlignment="1">
      <alignment horizontal="center" vertical="center"/>
    </xf>
    <xf numFmtId="0" fontId="3" fillId="10" borderId="23"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12" xfId="0" applyFont="1" applyFill="1" applyBorder="1" applyAlignment="1">
      <alignment horizontal="center" vertical="center"/>
    </xf>
    <xf numFmtId="0" fontId="3" fillId="10" borderId="17" xfId="0" applyFont="1" applyFill="1" applyBorder="1" applyAlignment="1">
      <alignment horizontal="center" vertical="center"/>
    </xf>
    <xf numFmtId="0" fontId="3" fillId="2" borderId="20"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7" xfId="0" applyFont="1" applyBorder="1" applyAlignment="1">
      <alignment horizontal="center" vertical="center" wrapText="1"/>
    </xf>
    <xf numFmtId="0" fontId="3" fillId="10" borderId="1" xfId="0" applyFont="1" applyFill="1" applyBorder="1" applyAlignment="1">
      <alignment horizontal="center" vertical="center" wrapText="1"/>
    </xf>
    <xf numFmtId="0" fontId="3" fillId="10" borderId="6" xfId="0" applyFont="1" applyFill="1" applyBorder="1" applyAlignment="1">
      <alignment horizontal="center" vertical="center" wrapText="1"/>
    </xf>
    <xf numFmtId="0" fontId="3" fillId="10" borderId="23" xfId="0"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2" xfId="0" applyFont="1" applyFill="1" applyBorder="1" applyAlignment="1">
      <alignment horizontal="center" vertical="center" wrapText="1"/>
    </xf>
    <xf numFmtId="0" fontId="3" fillId="10" borderId="17" xfId="0" applyFont="1" applyFill="1" applyBorder="1" applyAlignment="1">
      <alignment horizontal="center" vertical="center" wrapText="1"/>
    </xf>
    <xf numFmtId="0" fontId="3" fillId="7" borderId="1" xfId="0" applyFont="1" applyFill="1" applyBorder="1" applyAlignment="1">
      <alignment horizontal="center" vertical="center"/>
    </xf>
    <xf numFmtId="0" fontId="3" fillId="7" borderId="6" xfId="0" applyFont="1" applyFill="1" applyBorder="1" applyAlignment="1">
      <alignment horizontal="center" vertical="center"/>
    </xf>
    <xf numFmtId="0" fontId="3" fillId="7" borderId="23" xfId="0" applyFont="1" applyFill="1" applyBorder="1" applyAlignment="1">
      <alignment horizontal="center" vertical="center"/>
    </xf>
    <xf numFmtId="0" fontId="3" fillId="7" borderId="18" xfId="0" applyFont="1" applyFill="1" applyBorder="1" applyAlignment="1">
      <alignment horizontal="center" vertical="center"/>
    </xf>
    <xf numFmtId="0" fontId="3" fillId="7" borderId="12" xfId="0" applyFont="1" applyFill="1" applyBorder="1" applyAlignment="1">
      <alignment horizontal="center" vertical="center"/>
    </xf>
    <xf numFmtId="0" fontId="3" fillId="7" borderId="17" xfId="0" applyFont="1" applyFill="1" applyBorder="1" applyAlignment="1">
      <alignment horizontal="center" vertical="center"/>
    </xf>
    <xf numFmtId="0" fontId="3" fillId="7" borderId="7"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10" fillId="9" borderId="20" xfId="0" applyFont="1" applyFill="1" applyBorder="1" applyAlignment="1">
      <alignment horizontal="center"/>
    </xf>
    <xf numFmtId="0" fontId="10" fillId="9" borderId="22" xfId="0" applyFont="1" applyFill="1" applyBorder="1" applyAlignment="1">
      <alignment horizontal="center"/>
    </xf>
    <xf numFmtId="0" fontId="3" fillId="10" borderId="20" xfId="0" applyFont="1" applyFill="1" applyBorder="1" applyAlignment="1">
      <alignment horizontal="center" vertical="center" wrapText="1"/>
    </xf>
    <xf numFmtId="0" fontId="3" fillId="10" borderId="22" xfId="0" applyFont="1" applyFill="1" applyBorder="1" applyAlignment="1">
      <alignment horizontal="center" vertical="center" wrapText="1"/>
    </xf>
    <xf numFmtId="0" fontId="3" fillId="10" borderId="1" xfId="0" applyFont="1" applyFill="1" applyBorder="1" applyAlignment="1">
      <alignment horizontal="center" vertical="top" wrapText="1"/>
    </xf>
    <xf numFmtId="0" fontId="3" fillId="10" borderId="23" xfId="0" applyFont="1" applyFill="1" applyBorder="1" applyAlignment="1">
      <alignment horizontal="center" vertical="top" wrapText="1"/>
    </xf>
    <xf numFmtId="0" fontId="3" fillId="10" borderId="2" xfId="0" applyFont="1" applyFill="1" applyBorder="1" applyAlignment="1">
      <alignment horizontal="center" vertical="top" wrapText="1"/>
    </xf>
    <xf numFmtId="0" fontId="3" fillId="10" borderId="19" xfId="0" applyFont="1" applyFill="1" applyBorder="1" applyAlignment="1">
      <alignment horizontal="center" vertical="top" wrapText="1"/>
    </xf>
    <xf numFmtId="0" fontId="3" fillId="10" borderId="18" xfId="0" applyFont="1" applyFill="1" applyBorder="1" applyAlignment="1">
      <alignment horizontal="center" vertical="top" wrapText="1"/>
    </xf>
    <xf numFmtId="0" fontId="3" fillId="10" borderId="17" xfId="0" applyFont="1" applyFill="1" applyBorder="1" applyAlignment="1">
      <alignment horizontal="center" vertical="top" wrapText="1"/>
    </xf>
    <xf numFmtId="0" fontId="2" fillId="8" borderId="0" xfId="0" applyFont="1" applyFill="1" applyBorder="1" applyAlignment="1">
      <alignment horizontal="left" vertical="top" wrapText="1"/>
    </xf>
    <xf numFmtId="0" fontId="2" fillId="8" borderId="19" xfId="0" applyFont="1" applyFill="1" applyBorder="1" applyAlignment="1">
      <alignment horizontal="left" vertical="top" wrapText="1"/>
    </xf>
    <xf numFmtId="0" fontId="2" fillId="8" borderId="12" xfId="0" applyFont="1" applyFill="1" applyBorder="1" applyAlignment="1">
      <alignment horizontal="left" vertical="top" wrapText="1"/>
    </xf>
    <xf numFmtId="0" fontId="2" fillId="8" borderId="17" xfId="0" applyFont="1" applyFill="1" applyBorder="1" applyAlignment="1">
      <alignment horizontal="left" vertical="top" wrapText="1"/>
    </xf>
    <xf numFmtId="0" fontId="1" fillId="8" borderId="2" xfId="0" applyFont="1" applyFill="1" applyBorder="1" applyAlignment="1">
      <alignment horizontal="center" vertical="top"/>
    </xf>
    <xf numFmtId="0" fontId="1" fillId="8" borderId="18" xfId="0" applyFont="1" applyFill="1" applyBorder="1" applyAlignment="1">
      <alignment horizontal="center" vertical="top"/>
    </xf>
    <xf numFmtId="0" fontId="22" fillId="11" borderId="1" xfId="0" applyFont="1" applyFill="1" applyBorder="1" applyAlignment="1">
      <alignment horizontal="left" vertical="center" wrapText="1"/>
    </xf>
    <xf numFmtId="0" fontId="22" fillId="11" borderId="6" xfId="0" applyFont="1" applyFill="1" applyBorder="1" applyAlignment="1">
      <alignment horizontal="left" vertical="center" wrapText="1"/>
    </xf>
    <xf numFmtId="0" fontId="22" fillId="11" borderId="23" xfId="0" applyFont="1" applyFill="1" applyBorder="1" applyAlignment="1">
      <alignment horizontal="left" vertical="center" wrapText="1"/>
    </xf>
    <xf numFmtId="0" fontId="2" fillId="8" borderId="0" xfId="0" applyFont="1" applyFill="1" applyBorder="1" applyAlignment="1">
      <alignment horizontal="left"/>
    </xf>
    <xf numFmtId="0" fontId="2" fillId="8" borderId="19" xfId="0" applyFont="1" applyFill="1" applyBorder="1" applyAlignment="1">
      <alignment horizontal="left"/>
    </xf>
    <xf numFmtId="0" fontId="3" fillId="11" borderId="20" xfId="0" applyFont="1" applyFill="1" applyBorder="1" applyAlignment="1">
      <alignment horizontal="center"/>
    </xf>
    <xf numFmtId="0" fontId="3" fillId="11" borderId="21" xfId="0" applyFont="1" applyFill="1" applyBorder="1" applyAlignment="1">
      <alignment horizontal="center"/>
    </xf>
    <xf numFmtId="0" fontId="3" fillId="11" borderId="22"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301869</xdr:colOff>
      <xdr:row>1</xdr:row>
      <xdr:rowOff>60517</xdr:rowOff>
    </xdr:from>
    <xdr:to>
      <xdr:col>15</xdr:col>
      <xdr:colOff>30480</xdr:colOff>
      <xdr:row>64</xdr:row>
      <xdr:rowOff>114300</xdr:rowOff>
    </xdr:to>
    <xdr:sp macro="" textlink="">
      <xdr:nvSpPr>
        <xdr:cNvPr id="3" name="Text Box 4">
          <a:extLst>
            <a:ext uri="{FF2B5EF4-FFF2-40B4-BE49-F238E27FC236}">
              <a16:creationId xmlns:a16="http://schemas.microsoft.com/office/drawing/2014/main" xmlns="" id="{FDF7EABA-173A-4AC8-9F31-1B39B7A71D22}"/>
            </a:ext>
          </a:extLst>
        </xdr:cNvPr>
        <xdr:cNvSpPr txBox="1">
          <a:spLocks noChangeArrowheads="1"/>
        </xdr:cNvSpPr>
      </xdr:nvSpPr>
      <xdr:spPr bwMode="auto">
        <a:xfrm>
          <a:off x="301869" y="228157"/>
          <a:ext cx="8872611" cy="10615103"/>
        </a:xfrm>
        <a:prstGeom prst="rect">
          <a:avLst/>
        </a:prstGeom>
        <a:solidFill>
          <a:schemeClr val="accent3">
            <a:lumMod val="40000"/>
            <a:lumOff val="60000"/>
          </a:schemeClr>
        </a:solidFill>
        <a:ln w="9525">
          <a:solidFill>
            <a:srgbClr val="000000"/>
          </a:solidFill>
          <a:miter lim="800000"/>
          <a:headEnd/>
          <a:tailEnd/>
        </a:ln>
      </xdr:spPr>
      <xdr:txBody>
        <a:bodyPr vertOverflow="clip" wrap="square" lIns="36576" tIns="27432" rIns="0" bIns="0" anchor="t" upright="1"/>
        <a:lstStyle/>
        <a:p>
          <a:pPr algn="l" rtl="0">
            <a:defRPr sz="1000"/>
          </a:pPr>
          <a:r>
            <a:rPr lang="en-AU" sz="1000" b="1" i="0" u="none" strike="noStrike" baseline="0">
              <a:solidFill>
                <a:srgbClr val="FF0000"/>
              </a:solidFill>
              <a:latin typeface="Arial"/>
              <a:cs typeface="Arial"/>
            </a:rPr>
            <a:t>READ ME</a:t>
          </a:r>
        </a:p>
        <a:p>
          <a:r>
            <a:rPr lang="en-AU" sz="1000" b="1" i="0" u="none" strike="noStrike" baseline="0">
              <a:solidFill>
                <a:srgbClr val="FF0000"/>
              </a:solidFill>
              <a:latin typeface="Arial"/>
              <a:cs typeface="Arial"/>
            </a:rPr>
            <a:t/>
          </a:r>
          <a:br>
            <a:rPr lang="en-AU" sz="1000" b="1" i="0" u="none" strike="noStrike" baseline="0">
              <a:solidFill>
                <a:srgbClr val="FF0000"/>
              </a:solidFill>
              <a:latin typeface="Arial"/>
              <a:cs typeface="Arial"/>
            </a:rPr>
          </a:br>
          <a:r>
            <a:rPr lang="en-AU" sz="1100">
              <a:latin typeface="+mn-lt"/>
              <a:ea typeface="+mn-ea"/>
              <a:cs typeface="+mn-cs"/>
            </a:rPr>
            <a:t>This Floristic Value Score (and Weed Value Score) spreadsheet is appropriate for use in grassy woodlands and grasslands (including derived grasslands) that occur in the </a:t>
          </a:r>
          <a:r>
            <a:rPr lang="en-AU" sz="1100" b="1">
              <a:latin typeface="+mn-lt"/>
              <a:ea typeface="+mn-ea"/>
              <a:cs typeface="+mn-cs"/>
            </a:rPr>
            <a:t>South Western Slopes Bioregion</a:t>
          </a:r>
          <a:r>
            <a:rPr lang="en-AU" sz="1100">
              <a:latin typeface="+mn-lt"/>
              <a:ea typeface="+mn-ea"/>
              <a:cs typeface="+mn-cs"/>
            </a:rPr>
            <a:t> (IBRA v7) and adjacent areas of similar character.  Use of this tool outside of this region is not recommended, nor should this tool be used on dry forest ecosystems, as many species that may also occur more commonly in such ecosystems score highly, and as such may skew the floristic value score inappropriately in these less threatened ecosystems. </a:t>
          </a:r>
          <a:br>
            <a:rPr lang="en-AU" sz="1100">
              <a:latin typeface="+mn-lt"/>
              <a:ea typeface="+mn-ea"/>
              <a:cs typeface="+mn-cs"/>
            </a:rPr>
          </a:br>
          <a:endParaRPr lang="en-AU" sz="1100">
            <a:latin typeface="+mn-lt"/>
            <a:ea typeface="+mn-ea"/>
            <a:cs typeface="+mn-cs"/>
          </a:endParaRPr>
        </a:p>
        <a:p>
          <a:r>
            <a:rPr lang="en-AU" sz="1100">
              <a:latin typeface="+mn-lt"/>
              <a:ea typeface="+mn-ea"/>
              <a:cs typeface="+mn-cs"/>
            </a:rPr>
            <a:t>This workbook allows for automatic input of values from the reference table located on the "Sp_score_ref" worksheet, once the 4 + 4 codes (e.g., 'chry apic') corresponding with those on the reference table are typed into the 'Species code' column on the "VEGETATION" worksheet.  </a:t>
          </a:r>
          <a:br>
            <a:rPr lang="en-AU" sz="1100">
              <a:latin typeface="+mn-lt"/>
              <a:ea typeface="+mn-ea"/>
              <a:cs typeface="+mn-cs"/>
            </a:rPr>
          </a:br>
          <a:endParaRPr lang="en-AU" sz="1100">
            <a:latin typeface="+mn-lt"/>
            <a:ea typeface="+mn-ea"/>
            <a:cs typeface="+mn-cs"/>
          </a:endParaRPr>
        </a:p>
        <a:p>
          <a:r>
            <a:rPr lang="en-AU" sz="1100">
              <a:latin typeface="+mn-lt"/>
              <a:ea typeface="+mn-ea"/>
              <a:cs typeface="+mn-cs"/>
            </a:rPr>
            <a:t>To use this spreadsheet tool, use the "VEGETATION" worksheet and enter data into the blue and grey boxes.</a:t>
          </a:r>
          <a:br>
            <a:rPr lang="en-AU" sz="1100">
              <a:latin typeface="+mn-lt"/>
              <a:ea typeface="+mn-ea"/>
              <a:cs typeface="+mn-cs"/>
            </a:rPr>
          </a:br>
          <a:endParaRPr lang="en-AU" sz="1100">
            <a:latin typeface="+mn-lt"/>
            <a:ea typeface="+mn-ea"/>
            <a:cs typeface="+mn-cs"/>
          </a:endParaRPr>
        </a:p>
        <a:p>
          <a:r>
            <a:rPr lang="en-AU" sz="1100">
              <a:latin typeface="+mn-lt"/>
              <a:ea typeface="+mn-ea"/>
              <a:cs typeface="+mn-cs"/>
            </a:rPr>
            <a:t>Other notes for use of this spreadsheet tool are on the "VEGETATION" worksheet in the red cells.</a:t>
          </a:r>
          <a:br>
            <a:rPr lang="en-AU" sz="1100">
              <a:latin typeface="+mn-lt"/>
              <a:ea typeface="+mn-ea"/>
              <a:cs typeface="+mn-cs"/>
            </a:rPr>
          </a:br>
          <a:endParaRPr lang="en-AU" sz="1100">
            <a:latin typeface="+mn-lt"/>
            <a:ea typeface="+mn-ea"/>
            <a:cs typeface="+mn-cs"/>
          </a:endParaRPr>
        </a:p>
        <a:p>
          <a:r>
            <a:rPr lang="en-AU" sz="1100">
              <a:latin typeface="+mn-lt"/>
              <a:ea typeface="+mn-ea"/>
              <a:cs typeface="+mn-cs"/>
            </a:rPr>
            <a:t>The yellow boxes provide the site scores and other profile information (e.g. numbers of species within each of the categories).</a:t>
          </a:r>
          <a:br>
            <a:rPr lang="en-AU" sz="1100">
              <a:latin typeface="+mn-lt"/>
              <a:ea typeface="+mn-ea"/>
              <a:cs typeface="+mn-cs"/>
            </a:rPr>
          </a:br>
          <a:endParaRPr lang="en-AU" sz="1100">
            <a:latin typeface="+mn-lt"/>
            <a:ea typeface="+mn-ea"/>
            <a:cs typeface="+mn-cs"/>
          </a:endParaRPr>
        </a:p>
        <a:p>
          <a:r>
            <a:rPr lang="en-AU" sz="1100" b="1">
              <a:latin typeface="+mn-lt"/>
              <a:ea typeface="+mn-ea"/>
              <a:cs typeface="+mn-cs"/>
            </a:rPr>
            <a:t>Plot dimensions and placement</a:t>
          </a:r>
        </a:p>
        <a:p>
          <a:r>
            <a:rPr lang="en-AU" sz="1100">
              <a:latin typeface="+mn-lt"/>
              <a:ea typeface="+mn-ea"/>
              <a:cs typeface="+mn-cs"/>
            </a:rPr>
            <a:t> </a:t>
          </a:r>
        </a:p>
        <a:p>
          <a:r>
            <a:rPr lang="en-AU" sz="1100">
              <a:latin typeface="+mn-lt"/>
              <a:ea typeface="+mn-ea"/>
              <a:cs typeface="+mn-cs"/>
            </a:rPr>
            <a:t>Plot assessment is to be undertaken at a 20x20m (or 0.04 ha) scale. Plots must be placed in representative areas of the vegetation you are aiming to sample (i.e. avoid atypical features as much as possible).</a:t>
          </a:r>
        </a:p>
        <a:p>
          <a:r>
            <a:rPr lang="en-AU" sz="1100">
              <a:latin typeface="+mn-lt"/>
              <a:ea typeface="+mn-ea"/>
              <a:cs typeface="+mn-cs"/>
            </a:rPr>
            <a:t>Use the cover / abundance codes as they appear in the box on the left of the "VEGETATION" sheet.</a:t>
          </a:r>
          <a:br>
            <a:rPr lang="en-AU" sz="1100">
              <a:latin typeface="+mn-lt"/>
              <a:ea typeface="+mn-ea"/>
              <a:cs typeface="+mn-cs"/>
            </a:rPr>
          </a:br>
          <a:endParaRPr lang="en-AU" sz="1100">
            <a:latin typeface="+mn-lt"/>
            <a:ea typeface="+mn-ea"/>
            <a:cs typeface="+mn-cs"/>
          </a:endParaRPr>
        </a:p>
        <a:p>
          <a:r>
            <a:rPr lang="en-AU" sz="1100">
              <a:latin typeface="+mn-lt"/>
              <a:ea typeface="+mn-ea"/>
              <a:cs typeface="+mn-cs"/>
            </a:rPr>
            <a:t>Further explanation of "special codes" are in a box entitled "Things to remember when entering data " on the top right of the "Sp_score_ref" sheet.  This includes species that require special treatment based on cover/abundance and genus-only records in which an observer is confident on whether a species is native or exotic.  This also appears in the section entitled "Things to remember when entering data " in the Instruction Manual, whcih should be referred</a:t>
          </a:r>
          <a:r>
            <a:rPr lang="en-AU" sz="1100" baseline="0">
              <a:latin typeface="+mn-lt"/>
              <a:ea typeface="+mn-ea"/>
              <a:cs typeface="+mn-cs"/>
            </a:rPr>
            <a:t> to for more information</a:t>
          </a:r>
          <a:r>
            <a:rPr lang="en-AU" sz="1100">
              <a:latin typeface="+mn-lt"/>
              <a:ea typeface="+mn-ea"/>
              <a:cs typeface="+mn-cs"/>
            </a:rPr>
            <a:t>.</a:t>
          </a:r>
        </a:p>
        <a:p>
          <a:r>
            <a:rPr lang="en-AU" sz="1100" b="1">
              <a:latin typeface="+mn-lt"/>
              <a:ea typeface="+mn-ea"/>
              <a:cs typeface="+mn-cs"/>
            </a:rPr>
            <a:t/>
          </a:r>
          <a:br>
            <a:rPr lang="en-AU" sz="1100" b="1">
              <a:latin typeface="+mn-lt"/>
              <a:ea typeface="+mn-ea"/>
              <a:cs typeface="+mn-cs"/>
            </a:rPr>
          </a:br>
          <a:r>
            <a:rPr lang="en-AU" sz="1100" b="1">
              <a:latin typeface="+mn-lt"/>
              <a:ea typeface="+mn-ea"/>
              <a:cs typeface="+mn-cs"/>
            </a:rPr>
            <a:t>References</a:t>
          </a:r>
        </a:p>
        <a:p>
          <a:r>
            <a:rPr lang="en-AU" sz="1100">
              <a:latin typeface="+mn-lt"/>
              <a:ea typeface="+mn-ea"/>
              <a:cs typeface="+mn-cs"/>
            </a:rPr>
            <a:t> </a:t>
          </a:r>
        </a:p>
        <a:p>
          <a:r>
            <a:rPr lang="en-AU" sz="1100">
              <a:latin typeface="+mn-lt"/>
              <a:ea typeface="+mn-ea"/>
              <a:cs typeface="+mn-cs"/>
            </a:rPr>
            <a:t>This information is based on: </a:t>
          </a:r>
          <a:br>
            <a:rPr lang="en-AU" sz="1100">
              <a:latin typeface="+mn-lt"/>
              <a:ea typeface="+mn-ea"/>
              <a:cs typeface="+mn-cs"/>
            </a:rPr>
          </a:br>
          <a:endParaRPr lang="en-AU" sz="1100">
            <a:latin typeface="+mn-lt"/>
            <a:ea typeface="+mn-ea"/>
            <a:cs typeface="+mn-cs"/>
          </a:endParaRPr>
        </a:p>
        <a:p>
          <a:r>
            <a:rPr lang="en-AU" sz="1100">
              <a:latin typeface="+mn-lt"/>
              <a:ea typeface="+mn-ea"/>
              <a:cs typeface="+mn-cs"/>
            </a:rPr>
            <a:t>Rehwinkel, R (2015).  A Revised Floristic Value Scoring Method to assess grassland condition.  In:  </a:t>
          </a:r>
          <a:r>
            <a:rPr lang="en-AU" sz="1100" i="1">
              <a:latin typeface="+mn-lt"/>
              <a:ea typeface="+mn-ea"/>
              <a:cs typeface="+mn-cs"/>
            </a:rPr>
            <a:t>Grass half full or grass half empty?  Valuing native grassy landscapes.</a:t>
          </a:r>
          <a:r>
            <a:rPr lang="en-AU" sz="1100">
              <a:latin typeface="+mn-lt"/>
              <a:ea typeface="+mn-ea"/>
              <a:cs typeface="+mn-cs"/>
            </a:rPr>
            <a:t>  Proceedings of the Friends of Grasslands 20th anniversary forum, 30 October – 1 November 2014, Canberra, Australia.  Editors: A. Milligan &amp; H. Horton.  Friends of Grasslands Inc.  ISBN 978-0-9944958-1-5. </a:t>
          </a:r>
          <a:br>
            <a:rPr lang="en-AU" sz="1100">
              <a:latin typeface="+mn-lt"/>
              <a:ea typeface="+mn-ea"/>
              <a:cs typeface="+mn-cs"/>
            </a:rPr>
          </a:br>
          <a:endParaRPr lang="en-AU" sz="1100">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AU" sz="1100">
              <a:latin typeface="+mn-lt"/>
              <a:ea typeface="+mn-ea"/>
              <a:cs typeface="+mn-cs"/>
            </a:rPr>
            <a:t>The Instruction Manual is</a:t>
          </a:r>
          <a:r>
            <a:rPr lang="en-AU" sz="1100" baseline="0">
              <a:latin typeface="+mn-lt"/>
              <a:ea typeface="+mn-ea"/>
              <a:cs typeface="+mn-cs"/>
            </a:rPr>
            <a:t> available form NSW Biodiversity Conservation Trust or from Rainer Rehwinkel at rainer.rehwinkel@hotmail.com.</a:t>
          </a:r>
          <a:br>
            <a:rPr lang="en-AU" sz="1100" baseline="0">
              <a:latin typeface="+mn-lt"/>
              <a:ea typeface="+mn-ea"/>
              <a:cs typeface="+mn-cs"/>
            </a:rPr>
          </a:br>
          <a:r>
            <a:rPr lang="en-AU" sz="1100" baseline="0">
              <a:latin typeface="+mn-lt"/>
              <a:ea typeface="+mn-ea"/>
              <a:cs typeface="+mn-cs"/>
            </a:rPr>
            <a:t/>
          </a:r>
          <a:br>
            <a:rPr lang="en-AU" sz="1100" baseline="0">
              <a:latin typeface="+mn-lt"/>
              <a:ea typeface="+mn-ea"/>
              <a:cs typeface="+mn-cs"/>
            </a:rPr>
          </a:br>
          <a:r>
            <a:rPr lang="en-AU" sz="1100" baseline="0">
              <a:latin typeface="+mn-lt"/>
              <a:ea typeface="+mn-ea"/>
              <a:cs typeface="+mn-cs"/>
            </a:rPr>
            <a:t>Rehwinkel, R (unpublished) </a:t>
          </a:r>
          <a:r>
            <a:rPr lang="en-AU" sz="1100" i="1">
              <a:latin typeface="+mn-lt"/>
              <a:ea typeface="+mn-ea"/>
              <a:cs typeface="+mn-cs"/>
            </a:rPr>
            <a:t>Instruction Manual for use of the Floristic Value Score Spreadsheet NSW South Western Slopes Bioregion</a:t>
          </a:r>
          <a:r>
            <a:rPr lang="en-AU" sz="1100">
              <a:latin typeface="+mn-lt"/>
              <a:ea typeface="+mn-ea"/>
              <a:cs typeface="+mn-cs"/>
            </a:rPr>
            <a:t>. For the NSW Biodiversity Conservation Trust, July 2022.</a:t>
          </a:r>
        </a:p>
        <a:p>
          <a:r>
            <a:rPr lang="en-AU" sz="1100">
              <a:latin typeface="+mn-lt"/>
              <a:ea typeface="+mn-ea"/>
              <a:cs typeface="+mn-cs"/>
            </a:rPr>
            <a:t/>
          </a:r>
          <a:br>
            <a:rPr lang="en-AU" sz="1100">
              <a:latin typeface="+mn-lt"/>
              <a:ea typeface="+mn-ea"/>
              <a:cs typeface="+mn-cs"/>
            </a:rPr>
          </a:br>
          <a:r>
            <a:rPr lang="en-AU" sz="1100">
              <a:latin typeface="+mn-lt"/>
              <a:ea typeface="+mn-ea"/>
              <a:cs typeface="+mn-cs"/>
            </a:rPr>
            <a:t>All names used are as on the PlantNet website:  http://plantnet.rbgsyd.nsw.gov.au/ (current as of July 2022)</a:t>
          </a:r>
        </a:p>
        <a:p>
          <a:r>
            <a:rPr lang="en-AU" sz="1100" b="1">
              <a:latin typeface="+mn-lt"/>
              <a:ea typeface="+mn-ea"/>
              <a:cs typeface="+mn-cs"/>
            </a:rPr>
            <a:t/>
          </a:r>
          <a:br>
            <a:rPr lang="en-AU" sz="1100" b="1">
              <a:latin typeface="+mn-lt"/>
              <a:ea typeface="+mn-ea"/>
              <a:cs typeface="+mn-cs"/>
            </a:rPr>
          </a:br>
          <a:r>
            <a:rPr lang="en-AU" sz="1100" b="1">
              <a:latin typeface="+mn-lt"/>
              <a:ea typeface="+mn-ea"/>
              <a:cs typeface="+mn-cs"/>
            </a:rPr>
            <a:t>Acknowledgments</a:t>
          </a:r>
        </a:p>
        <a:p>
          <a:r>
            <a:rPr lang="en-AU" sz="1100">
              <a:latin typeface="+mn-lt"/>
              <a:ea typeface="+mn-ea"/>
              <a:cs typeface="+mn-cs"/>
            </a:rPr>
            <a:t> </a:t>
          </a:r>
        </a:p>
        <a:p>
          <a:r>
            <a:rPr lang="en-AU" sz="1100">
              <a:latin typeface="+mn-lt"/>
              <a:ea typeface="+mn-ea"/>
              <a:cs typeface="+mn-cs"/>
            </a:rPr>
            <a:t>This spreadsheet tool was developed by David Wong, while undertaking a Masters degree at the University of Canberra.  This is version 2.0 of the tool specifically developed for the NSW SW Slopes Bioregion was compiled by Rainer Rehwinkel, with additional data supplied by James Brazill Boast, in April 2022. </a:t>
          </a:r>
        </a:p>
        <a:p>
          <a:r>
            <a:rPr lang="en-AU" sz="1100">
              <a:latin typeface="+mn-lt"/>
              <a:ea typeface="+mn-ea"/>
              <a:cs typeface="+mn-cs"/>
            </a:rPr>
            <a:t/>
          </a:r>
          <a:br>
            <a:rPr lang="en-AU" sz="1100">
              <a:latin typeface="+mn-lt"/>
              <a:ea typeface="+mn-ea"/>
              <a:cs typeface="+mn-cs"/>
            </a:rPr>
          </a:br>
          <a:r>
            <a:rPr lang="en-AU" sz="1100">
              <a:latin typeface="+mn-lt"/>
              <a:ea typeface="+mn-ea"/>
              <a:cs typeface="+mn-cs"/>
            </a:rPr>
            <a:t>The tool was reviewed in June and July 2022 by Rob Armstrong (botanist acting in a private capacity), Maya Potapowicz (consultant botanist) and Steve Lewer (Senior Regional Biodiversity Conservation Officer, NSW Department of Planning and Environment).  The reviewed material was incorporated by Rainer Rehwinkel in July 2022.</a:t>
          </a:r>
          <a:br>
            <a:rPr lang="en-AU" sz="1100">
              <a:latin typeface="+mn-lt"/>
              <a:ea typeface="+mn-ea"/>
              <a:cs typeface="+mn-cs"/>
            </a:rPr>
          </a:br>
          <a:endParaRPr lang="en-AU" sz="1100">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AU" sz="1100">
              <a:latin typeface="+mn-lt"/>
              <a:ea typeface="+mn-ea"/>
              <a:cs typeface="+mn-cs"/>
            </a:rPr>
            <a:t>The following describes the rational for assigning Significance Scores for the NSW SWS species as they appear in the spreadsheet.  The Significance Scores for species or species' groups are based on the expert knowledge of the author, the knowledge of reviewers of previous versions of this tool that have been developed for other, often adjacent bioregions, and the expert knowledge of the three reviewers named above.</a:t>
          </a:r>
          <a:br>
            <a:rPr lang="en-AU" sz="1100">
              <a:latin typeface="+mn-lt"/>
              <a:ea typeface="+mn-ea"/>
              <a:cs typeface="+mn-cs"/>
            </a:rPr>
          </a:br>
          <a:r>
            <a:rPr lang="en-AU" sz="1100">
              <a:latin typeface="+mn-lt"/>
              <a:ea typeface="+mn-ea"/>
              <a:cs typeface="+mn-cs"/>
            </a:rPr>
            <a:t/>
          </a:r>
          <a:br>
            <a:rPr lang="en-AU" sz="1100">
              <a:latin typeface="+mn-lt"/>
              <a:ea typeface="+mn-ea"/>
              <a:cs typeface="+mn-cs"/>
            </a:rPr>
          </a:br>
          <a:r>
            <a:rPr lang="en-AU" sz="1100">
              <a:latin typeface="+mn-lt"/>
              <a:ea typeface="+mn-ea"/>
              <a:cs typeface="+mn-cs"/>
            </a:rPr>
            <a:t>Further information on the Rationale for assigning Significance Ratings is in:</a:t>
          </a:r>
          <a:br>
            <a:rPr lang="en-AU" sz="1100">
              <a:latin typeface="+mn-lt"/>
              <a:ea typeface="+mn-ea"/>
              <a:cs typeface="+mn-cs"/>
            </a:rPr>
          </a:br>
          <a:r>
            <a:rPr lang="en-AU" sz="1100">
              <a:latin typeface="+mn-lt"/>
              <a:ea typeface="+mn-ea"/>
              <a:cs typeface="+mn-cs"/>
            </a:rPr>
            <a:t/>
          </a:r>
          <a:br>
            <a:rPr lang="en-AU" sz="1100">
              <a:latin typeface="+mn-lt"/>
              <a:ea typeface="+mn-ea"/>
              <a:cs typeface="+mn-cs"/>
            </a:rPr>
          </a:br>
          <a:r>
            <a:rPr lang="en-AU" sz="1100" baseline="0">
              <a:latin typeface="+mn-lt"/>
              <a:ea typeface="+mn-ea"/>
              <a:cs typeface="+mn-cs"/>
            </a:rPr>
            <a:t>Rehwinkel, R (unpublished) </a:t>
          </a:r>
          <a:r>
            <a:rPr lang="en-AU" sz="1100" i="1">
              <a:latin typeface="+mn-lt"/>
              <a:ea typeface="+mn-ea"/>
              <a:cs typeface="+mn-cs"/>
            </a:rPr>
            <a:t>Instruction Manual for use of the Floristic Value Score Spreadsheet NSW South Western Slopes Bioregion</a:t>
          </a:r>
          <a:r>
            <a:rPr lang="en-AU" sz="1100">
              <a:latin typeface="+mn-lt"/>
              <a:ea typeface="+mn-ea"/>
              <a:cs typeface="+mn-cs"/>
            </a:rPr>
            <a:t>. For the NSW Biodiversity Conservation Trust, July 2022.</a:t>
          </a:r>
          <a:endParaRPr lang="en-AU"/>
        </a:p>
        <a:p>
          <a:endParaRPr lang="en-AU" sz="1100">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plantnet.rbgsyd.nsw.gov.au/cgi-bin/NSWfl.pl?page=nswfl&amp;lvl=gn&amp;name=Bulbine" TargetMode="External"/></Relationships>
</file>

<file path=xl/worksheets/sheet1.xml><?xml version="1.0" encoding="utf-8"?>
<worksheet xmlns="http://schemas.openxmlformats.org/spreadsheetml/2006/main" xmlns:r="http://schemas.openxmlformats.org/officeDocument/2006/relationships">
  <dimension ref="P5"/>
  <sheetViews>
    <sheetView zoomScaleNormal="100" workbookViewId="0">
      <selection activeCell="Z1" sqref="Z1"/>
    </sheetView>
  </sheetViews>
  <sheetFormatPr defaultRowHeight="13.2"/>
  <sheetData>
    <row r="5" spans="16:16">
      <c r="P5" s="2"/>
    </row>
  </sheetData>
  <phoneticPr fontId="0"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dimension ref="A1:AO109"/>
  <sheetViews>
    <sheetView showGridLines="0" tabSelected="1" zoomScale="80" zoomScaleNormal="80" workbookViewId="0">
      <pane xSplit="1" ySplit="2" topLeftCell="B3" activePane="bottomRight" state="frozen"/>
      <selection pane="topRight" activeCell="B1" sqref="B1"/>
      <selection pane="bottomLeft" activeCell="A3" sqref="A3"/>
      <selection pane="bottomRight" activeCell="AO1" sqref="AO1"/>
    </sheetView>
  </sheetViews>
  <sheetFormatPr defaultRowHeight="13.2"/>
  <cols>
    <col min="1" max="1" width="2.44140625" customWidth="1"/>
    <col min="2" max="2" width="8.44140625" customWidth="1"/>
    <col min="3" max="3" width="28.44140625" customWidth="1"/>
    <col min="4" max="4" width="21.44140625" customWidth="1"/>
    <col min="5" max="5" width="12.44140625" style="8" customWidth="1"/>
    <col min="6" max="6" width="14.5546875" customWidth="1"/>
    <col min="7" max="7" width="10" style="8" customWidth="1"/>
    <col min="8" max="8" width="36.5546875" customWidth="1"/>
    <col min="9" max="9" width="14.5546875" style="8" customWidth="1"/>
    <col min="10" max="10" width="9.33203125" style="4" hidden="1" customWidth="1"/>
    <col min="11" max="11" width="18.44140625" style="4" hidden="1" customWidth="1"/>
    <col min="12" max="12" width="21.5546875" style="4" hidden="1" customWidth="1"/>
    <col min="13" max="19" width="17.44140625" style="4" hidden="1" customWidth="1"/>
    <col min="20" max="22" width="13.44140625" hidden="1" customWidth="1"/>
    <col min="23" max="28" width="13.44140625" style="4" hidden="1" customWidth="1"/>
    <col min="29" max="29" width="9.33203125" style="4" customWidth="1"/>
    <col min="30" max="30" width="12.44140625" style="4" customWidth="1"/>
    <col min="31" max="38" width="9.33203125" style="4" customWidth="1"/>
  </cols>
  <sheetData>
    <row r="1" spans="2:40" ht="13.8" thickBot="1">
      <c r="V1" s="4"/>
    </row>
    <row r="2" spans="2:40" ht="26.1" customHeight="1" thickBot="1">
      <c r="C2" s="100" t="s">
        <v>3169</v>
      </c>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2"/>
    </row>
    <row r="3" spans="2:40" ht="13.8" thickBot="1">
      <c r="C3" s="1"/>
      <c r="V3" s="4"/>
    </row>
    <row r="4" spans="2:40" s="58" customFormat="1" ht="44.4" customHeight="1" thickBot="1">
      <c r="C4" s="59" t="s">
        <v>0</v>
      </c>
      <c r="D4" s="60" t="s">
        <v>1</v>
      </c>
      <c r="E4" s="17" t="s">
        <v>2</v>
      </c>
      <c r="F4" s="109" t="s">
        <v>3</v>
      </c>
      <c r="G4" s="110"/>
      <c r="H4" s="61" t="s">
        <v>4</v>
      </c>
      <c r="I4" s="103" t="s">
        <v>5</v>
      </c>
      <c r="J4" s="104"/>
      <c r="K4" s="104"/>
      <c r="L4" s="104"/>
      <c r="M4" s="104"/>
      <c r="N4" s="104"/>
      <c r="O4" s="104"/>
      <c r="P4" s="104"/>
      <c r="Q4" s="104"/>
      <c r="R4" s="104"/>
      <c r="S4" s="104"/>
      <c r="T4" s="104"/>
      <c r="U4" s="104"/>
      <c r="V4" s="104"/>
      <c r="W4" s="104"/>
      <c r="X4" s="104"/>
      <c r="Y4" s="104"/>
      <c r="Z4" s="104"/>
      <c r="AA4" s="104"/>
      <c r="AB4" s="104"/>
      <c r="AC4" s="104"/>
      <c r="AD4" s="105"/>
      <c r="AE4" s="62"/>
      <c r="AF4" s="62"/>
      <c r="AG4" s="62"/>
      <c r="AH4" s="62"/>
      <c r="AI4" s="62"/>
      <c r="AJ4" s="62"/>
      <c r="AK4" s="62"/>
      <c r="AL4" s="62"/>
    </row>
    <row r="5" spans="2:40" ht="13.8" thickBot="1">
      <c r="C5" s="1"/>
      <c r="AC5"/>
      <c r="AD5"/>
    </row>
    <row r="6" spans="2:40" s="3" customFormat="1" ht="140.69999999999999" customHeight="1" thickBot="1">
      <c r="C6" s="42" t="s">
        <v>6</v>
      </c>
      <c r="D6" s="42" t="s">
        <v>7</v>
      </c>
      <c r="E6" s="41" t="s">
        <v>8</v>
      </c>
      <c r="F6" s="23" t="s">
        <v>9</v>
      </c>
      <c r="G6" s="23" t="s">
        <v>10</v>
      </c>
      <c r="H6" s="24" t="s">
        <v>11</v>
      </c>
      <c r="I6" s="23" t="s">
        <v>12</v>
      </c>
      <c r="J6" s="20" t="s">
        <v>13</v>
      </c>
      <c r="K6" s="20" t="s">
        <v>14</v>
      </c>
      <c r="L6" s="20" t="s">
        <v>15</v>
      </c>
      <c r="M6" s="20" t="s">
        <v>16</v>
      </c>
      <c r="N6" s="20" t="s">
        <v>17</v>
      </c>
      <c r="O6" s="20" t="s">
        <v>18</v>
      </c>
      <c r="P6" s="20" t="s">
        <v>19</v>
      </c>
      <c r="Q6" s="20" t="s">
        <v>20</v>
      </c>
      <c r="R6" s="20" t="s">
        <v>21</v>
      </c>
      <c r="S6" s="20" t="s">
        <v>22</v>
      </c>
      <c r="T6" s="38" t="s">
        <v>23</v>
      </c>
      <c r="U6" s="38" t="s">
        <v>24</v>
      </c>
      <c r="V6" s="38" t="s">
        <v>25</v>
      </c>
      <c r="W6" s="38" t="s">
        <v>26</v>
      </c>
      <c r="X6" s="38" t="s">
        <v>27</v>
      </c>
      <c r="Y6" s="38" t="s">
        <v>28</v>
      </c>
      <c r="Z6" s="38" t="s">
        <v>29</v>
      </c>
      <c r="AA6" s="38" t="s">
        <v>30</v>
      </c>
      <c r="AB6" s="38" t="s">
        <v>31</v>
      </c>
      <c r="AC6" s="5"/>
      <c r="AD6" s="5"/>
      <c r="AE6" s="5"/>
      <c r="AF6" s="5"/>
      <c r="AG6" s="5"/>
      <c r="AH6" s="5"/>
      <c r="AI6" s="5"/>
      <c r="AJ6" s="5"/>
      <c r="AK6" s="5"/>
      <c r="AL6" s="5"/>
      <c r="AM6" s="5"/>
      <c r="AN6" s="5"/>
    </row>
    <row r="7" spans="2:40" ht="13.8" thickBot="1">
      <c r="D7" s="2"/>
      <c r="E7" s="7"/>
      <c r="F7" s="63"/>
      <c r="G7" s="64"/>
      <c r="H7" s="67" t="e">
        <f>VLOOKUP(F7,Sp_score_ref!$A$2:$C$1517,2,FALSE)</f>
        <v>#N/A</v>
      </c>
      <c r="I7" s="68" t="e">
        <f>VLOOKUP(F7,Sp_score_ref!$A$2:$C$1517,3,FALSE)</f>
        <v>#N/A</v>
      </c>
      <c r="J7" s="55"/>
      <c r="K7" s="10" t="e">
        <f>IF($I7 = "A", 1, "0")</f>
        <v>#N/A</v>
      </c>
      <c r="L7" s="7" t="e">
        <f>IF(AND($I7 = "A", $G7 &lt;&gt;  2), 1, "0")</f>
        <v>#N/A</v>
      </c>
      <c r="M7" s="7" t="e">
        <f>IF(AND($I7 = "A", $G7 &lt;&gt;  1), 1, "0")</f>
        <v>#N/A</v>
      </c>
      <c r="N7" s="10" t="e">
        <f>IF($I7 = "B", 1, "0")</f>
        <v>#N/A</v>
      </c>
      <c r="O7" s="10" t="e">
        <f>IF(AND($I7 = "B", $G7 &lt;&gt;  2), 1, "0")</f>
        <v>#N/A</v>
      </c>
      <c r="P7" s="10" t="e">
        <f>IF(AND($I7 = "B", $G7 &lt;&gt;  1), 1, "0")</f>
        <v>#N/A</v>
      </c>
      <c r="Q7" s="10" t="e">
        <f>IF($I7 = "C", 1, "0")</f>
        <v>#N/A</v>
      </c>
      <c r="R7" s="10" t="e">
        <f>IF(AND($I7 = "C", $G7 &lt;&gt;  2), 1, "0")</f>
        <v>#N/A</v>
      </c>
      <c r="S7" s="10" t="e">
        <f>IF(AND($I7 = "C", $G7 &lt;&gt;  1), 1, "0")</f>
        <v>#N/A</v>
      </c>
      <c r="T7" s="7" t="e">
        <f>IF($I7 = "X", 1, "0")</f>
        <v>#N/A</v>
      </c>
      <c r="U7" s="7" t="e">
        <f>IF(AND($I7 = "X", $G7 &lt;&gt;  2), 1, "0")</f>
        <v>#N/A</v>
      </c>
      <c r="V7" s="7" t="e">
        <f>IF(AND($I7 = "X", $G7 &lt;&gt;  1), 1, "0")</f>
        <v>#N/A</v>
      </c>
      <c r="W7" s="7" t="e">
        <f>IF($I7 = "Y", 1, "0")</f>
        <v>#N/A</v>
      </c>
      <c r="X7" s="7" t="e">
        <f>IF(AND($I7 = "Y", $G7 &lt;&gt;  2), 1, "0")</f>
        <v>#N/A</v>
      </c>
      <c r="Y7" s="7" t="e">
        <f>IF(AND($I7 = "Y", $G7 &lt;&gt;  1), 1, "0")</f>
        <v>#N/A</v>
      </c>
      <c r="Z7" s="7" t="e">
        <f>IF($I7 = "Z", 1, "0")</f>
        <v>#N/A</v>
      </c>
      <c r="AA7" s="7" t="e">
        <f>IF(AND($I7 = "Z", $G7 &lt;&gt;  2), 1, "0")</f>
        <v>#N/A</v>
      </c>
      <c r="AB7" s="7" t="e">
        <f>IF(AND($I7 = "Z", $G7 &lt;&gt;  1), 1, "0")</f>
        <v>#N/A</v>
      </c>
      <c r="AM7" s="4"/>
      <c r="AN7" s="4"/>
    </row>
    <row r="8" spans="2:40" ht="13.8" thickBot="1">
      <c r="C8" s="125" t="s">
        <v>33</v>
      </c>
      <c r="D8" s="126"/>
      <c r="E8" s="7"/>
      <c r="F8" s="65"/>
      <c r="G8" s="66"/>
      <c r="H8" s="69" t="e">
        <f>VLOOKUP(F8,Sp_score_ref!$A$2:$C$1517,2,FALSE)</f>
        <v>#N/A</v>
      </c>
      <c r="I8" s="70" t="e">
        <f>VLOOKUP(F8,Sp_score_ref!$A$2:$C$1517,3,FALSE)</f>
        <v>#N/A</v>
      </c>
      <c r="J8" s="56"/>
      <c r="K8" s="7" t="e">
        <f>IF($I8 = "A", 1, "0")</f>
        <v>#N/A</v>
      </c>
      <c r="L8" s="7" t="e">
        <f>IF(AND($I8 = "A", $G8 &lt;&gt;  2), 1, "0")</f>
        <v>#N/A</v>
      </c>
      <c r="M8" s="7" t="e">
        <f>IF(AND($I8 = "A", $G8 &lt;&gt;  1), 1, "0")</f>
        <v>#N/A</v>
      </c>
      <c r="N8" s="7" t="e">
        <f>IF($I8 = "B", 1, "0")</f>
        <v>#N/A</v>
      </c>
      <c r="O8" s="7" t="e">
        <f>IF(AND($I8 = "B", $G8 &lt;&gt;  2), 1, "0")</f>
        <v>#N/A</v>
      </c>
      <c r="P8" s="7" t="e">
        <f>IF(AND($I8 = "B", $G8 &lt;&gt;  1), 1, "0")</f>
        <v>#N/A</v>
      </c>
      <c r="Q8" s="7" t="e">
        <f>IF($I8 = "C", 1, "0")</f>
        <v>#N/A</v>
      </c>
      <c r="R8" s="7" t="e">
        <f>IF(AND($I8 = "C", $G8 &lt;&gt;  2), 1, "0")</f>
        <v>#N/A</v>
      </c>
      <c r="S8" s="7" t="e">
        <f>IF(AND($I8 = "C", $G8 &lt;&gt;  1), 1, "0")</f>
        <v>#N/A</v>
      </c>
      <c r="T8" s="7" t="e">
        <f>IF($I8 = "X", 1, "0")</f>
        <v>#N/A</v>
      </c>
      <c r="U8" s="7" t="e">
        <f>IF(AND($I8 = "X", $G8 &lt;&gt;  2), 1, "0")</f>
        <v>#N/A</v>
      </c>
      <c r="V8" s="7" t="e">
        <f>IF(AND($I8 = "X", $G8 &lt;&gt;  1), 1, "0")</f>
        <v>#N/A</v>
      </c>
      <c r="W8" s="7" t="e">
        <f>IF($I8 = "Y", 1, "0")</f>
        <v>#N/A</v>
      </c>
      <c r="X8" s="7" t="e">
        <f>IF(AND($I8 = "Y", $G8 &lt;&gt;  2), 1, "0")</f>
        <v>#N/A</v>
      </c>
      <c r="Y8" s="7" t="e">
        <f>IF(AND($I8 = "Y", $G8 &lt;&gt;  1), 1, "0")</f>
        <v>#N/A</v>
      </c>
      <c r="Z8" s="7" t="e">
        <f>IF($I8 = "Z", 1, "0")</f>
        <v>#N/A</v>
      </c>
      <c r="AA8" s="7" t="e">
        <f>IF(AND($I8 = "Z", $G8 &lt;&gt;  2), 1, "0")</f>
        <v>#N/A</v>
      </c>
      <c r="AB8" s="7" t="e">
        <f>IF(AND($I8 = "Z", $G8 &lt;&gt;  1), 1, "0")</f>
        <v>#N/A</v>
      </c>
      <c r="AM8" s="4"/>
      <c r="AN8" s="4"/>
    </row>
    <row r="9" spans="2:40" ht="14.1" customHeight="1" thickBot="1">
      <c r="C9" s="9" t="s">
        <v>35</v>
      </c>
      <c r="D9" s="42"/>
      <c r="E9" s="7"/>
      <c r="F9" s="65"/>
      <c r="G9" s="66"/>
      <c r="H9" s="69" t="e">
        <f>VLOOKUP(F9,Sp_score_ref!$A$2:$C$1517,2,FALSE)</f>
        <v>#N/A</v>
      </c>
      <c r="I9" s="70" t="e">
        <f>VLOOKUP(F9,Sp_score_ref!$A$2:$C$1517,3,FALSE)</f>
        <v>#N/A</v>
      </c>
      <c r="J9" s="56"/>
      <c r="K9" s="7" t="e">
        <f t="shared" ref="K9:K70" si="0">IF($I9 = "A", 1, "0")</f>
        <v>#N/A</v>
      </c>
      <c r="L9" s="7" t="e">
        <f t="shared" ref="L9:L70" si="1">IF(AND($I9 = "A", $G9 &lt;&gt;  2), 1, "0")</f>
        <v>#N/A</v>
      </c>
      <c r="M9" s="7" t="e">
        <f t="shared" ref="M9:M70" si="2">IF(AND($I9 = "A", $G9 &lt;&gt;  1), 1, "0")</f>
        <v>#N/A</v>
      </c>
      <c r="N9" s="7" t="e">
        <f t="shared" ref="N9:N70" si="3">IF($I9 = "B", 1, "0")</f>
        <v>#N/A</v>
      </c>
      <c r="O9" s="7" t="e">
        <f t="shared" ref="O9:O70" si="4">IF(AND($I9 = "B", $G9 &lt;&gt;  2), 1, "0")</f>
        <v>#N/A</v>
      </c>
      <c r="P9" s="7" t="e">
        <f t="shared" ref="P9:P70" si="5">IF(AND($I9 = "B", $G9 &lt;&gt;  1), 1, "0")</f>
        <v>#N/A</v>
      </c>
      <c r="Q9" s="7" t="e">
        <f t="shared" ref="Q9:Q70" si="6">IF($I9 = "C", 1, "0")</f>
        <v>#N/A</v>
      </c>
      <c r="R9" s="7" t="e">
        <f t="shared" ref="R9:R70" si="7">IF(AND($I9 = "C", $G9 &lt;&gt;  2), 1, "0")</f>
        <v>#N/A</v>
      </c>
      <c r="S9" s="7" t="e">
        <f t="shared" ref="S9:S70" si="8">IF(AND($I9 = "C", $G9 &lt;&gt;  1), 1, "0")</f>
        <v>#N/A</v>
      </c>
      <c r="T9" s="7" t="e">
        <f t="shared" ref="T9:T70" si="9">IF($I9 = "X", 1, "0")</f>
        <v>#N/A</v>
      </c>
      <c r="U9" s="7" t="e">
        <f t="shared" ref="U9:U70" si="10">IF(AND($I9 = "X", $G9 &lt;&gt;  2), 1, "0")</f>
        <v>#N/A</v>
      </c>
      <c r="V9" s="7" t="e">
        <f t="shared" ref="V9:V70" si="11">IF(AND($I9 = "X", $G9 &lt;&gt;  1), 1, "0")</f>
        <v>#N/A</v>
      </c>
      <c r="W9" s="7" t="e">
        <f t="shared" ref="W9:W70" si="12">IF($I9 = "Y", 1, "0")</f>
        <v>#N/A</v>
      </c>
      <c r="X9" s="7" t="e">
        <f t="shared" ref="X9:X70" si="13">IF(AND($I9 = "Y", $G9 &lt;&gt;  2), 1, "0")</f>
        <v>#N/A</v>
      </c>
      <c r="Y9" s="7" t="e">
        <f t="shared" ref="Y9:Y70" si="14">IF(AND($I9 = "Y", $G9 &lt;&gt;  1), 1, "0")</f>
        <v>#N/A</v>
      </c>
      <c r="Z9" s="7" t="e">
        <f t="shared" ref="Z9:Z70" si="15">IF($I9 = "Z", 1, "0")</f>
        <v>#N/A</v>
      </c>
      <c r="AA9" s="7" t="e">
        <f t="shared" ref="AA9:AA70" si="16">IF(AND($I9 = "Z", $G9 &lt;&gt;  2), 1, "0")</f>
        <v>#N/A</v>
      </c>
      <c r="AB9" s="7" t="e">
        <f t="shared" ref="AB9:AB70" si="17">IF(AND($I9 = "Z", $G9 &lt;&gt;  1), 1, "0")</f>
        <v>#N/A</v>
      </c>
      <c r="AM9" s="4"/>
      <c r="AN9" s="4"/>
    </row>
    <row r="10" spans="2:40" ht="13.8" thickBot="1">
      <c r="C10" s="9" t="s">
        <v>37</v>
      </c>
      <c r="D10" s="42"/>
      <c r="F10" s="65"/>
      <c r="G10" s="66"/>
      <c r="H10" s="69" t="e">
        <f>VLOOKUP(F10,Sp_score_ref!$A$2:$C$1517,2,FALSE)</f>
        <v>#N/A</v>
      </c>
      <c r="I10" s="70" t="e">
        <f>VLOOKUP(F10,Sp_score_ref!$A$2:$C$1517,3,FALSE)</f>
        <v>#N/A</v>
      </c>
      <c r="J10" s="56"/>
      <c r="K10" s="7" t="e">
        <f t="shared" si="0"/>
        <v>#N/A</v>
      </c>
      <c r="L10" s="7" t="e">
        <f t="shared" si="1"/>
        <v>#N/A</v>
      </c>
      <c r="M10" s="7" t="e">
        <f t="shared" si="2"/>
        <v>#N/A</v>
      </c>
      <c r="N10" s="7" t="e">
        <f t="shared" si="3"/>
        <v>#N/A</v>
      </c>
      <c r="O10" s="7" t="e">
        <f t="shared" si="4"/>
        <v>#N/A</v>
      </c>
      <c r="P10" s="7" t="e">
        <f t="shared" si="5"/>
        <v>#N/A</v>
      </c>
      <c r="Q10" s="7" t="e">
        <f t="shared" si="6"/>
        <v>#N/A</v>
      </c>
      <c r="R10" s="7" t="e">
        <f t="shared" si="7"/>
        <v>#N/A</v>
      </c>
      <c r="S10" s="7" t="e">
        <f t="shared" si="8"/>
        <v>#N/A</v>
      </c>
      <c r="T10" s="7" t="e">
        <f t="shared" si="9"/>
        <v>#N/A</v>
      </c>
      <c r="U10" s="7" t="e">
        <f t="shared" si="10"/>
        <v>#N/A</v>
      </c>
      <c r="V10" s="7" t="e">
        <f t="shared" si="11"/>
        <v>#N/A</v>
      </c>
      <c r="W10" s="7" t="e">
        <f t="shared" si="12"/>
        <v>#N/A</v>
      </c>
      <c r="X10" s="7" t="e">
        <f t="shared" si="13"/>
        <v>#N/A</v>
      </c>
      <c r="Y10" s="7" t="e">
        <f t="shared" si="14"/>
        <v>#N/A</v>
      </c>
      <c r="Z10" s="7" t="e">
        <f t="shared" si="15"/>
        <v>#N/A</v>
      </c>
      <c r="AA10" s="7" t="e">
        <f t="shared" si="16"/>
        <v>#N/A</v>
      </c>
      <c r="AB10" s="7" t="e">
        <f t="shared" si="17"/>
        <v>#N/A</v>
      </c>
      <c r="AM10" s="4"/>
      <c r="AN10" s="4"/>
    </row>
    <row r="11" spans="2:40" ht="13.8" thickBot="1">
      <c r="C11" s="9" t="s">
        <v>39</v>
      </c>
      <c r="D11" s="42"/>
      <c r="F11" s="65"/>
      <c r="G11" s="66"/>
      <c r="H11" s="69" t="e">
        <f>VLOOKUP(F11,Sp_score_ref!$A$2:$C$1517,2,FALSE)</f>
        <v>#N/A</v>
      </c>
      <c r="I11" s="70" t="e">
        <f>VLOOKUP(F11,Sp_score_ref!$A$2:$C$1517,3,FALSE)</f>
        <v>#N/A</v>
      </c>
      <c r="J11" s="56"/>
      <c r="K11" s="7" t="e">
        <f t="shared" si="0"/>
        <v>#N/A</v>
      </c>
      <c r="L11" s="7" t="e">
        <f t="shared" si="1"/>
        <v>#N/A</v>
      </c>
      <c r="M11" s="7" t="e">
        <f t="shared" si="2"/>
        <v>#N/A</v>
      </c>
      <c r="N11" s="7" t="e">
        <f t="shared" si="3"/>
        <v>#N/A</v>
      </c>
      <c r="O11" s="7" t="e">
        <f t="shared" si="4"/>
        <v>#N/A</v>
      </c>
      <c r="P11" s="7" t="e">
        <f t="shared" si="5"/>
        <v>#N/A</v>
      </c>
      <c r="Q11" s="7" t="e">
        <f t="shared" si="6"/>
        <v>#N/A</v>
      </c>
      <c r="R11" s="7" t="e">
        <f t="shared" si="7"/>
        <v>#N/A</v>
      </c>
      <c r="S11" s="7" t="e">
        <f t="shared" si="8"/>
        <v>#N/A</v>
      </c>
      <c r="T11" s="7" t="e">
        <f t="shared" si="9"/>
        <v>#N/A</v>
      </c>
      <c r="U11" s="7" t="e">
        <f t="shared" si="10"/>
        <v>#N/A</v>
      </c>
      <c r="V11" s="7" t="e">
        <f t="shared" si="11"/>
        <v>#N/A</v>
      </c>
      <c r="W11" s="7" t="e">
        <f t="shared" si="12"/>
        <v>#N/A</v>
      </c>
      <c r="X11" s="7" t="e">
        <f t="shared" si="13"/>
        <v>#N/A</v>
      </c>
      <c r="Y11" s="7" t="e">
        <f t="shared" si="14"/>
        <v>#N/A</v>
      </c>
      <c r="Z11" s="7" t="e">
        <f t="shared" si="15"/>
        <v>#N/A</v>
      </c>
      <c r="AA11" s="7" t="e">
        <f t="shared" si="16"/>
        <v>#N/A</v>
      </c>
      <c r="AB11" s="7" t="e">
        <f t="shared" si="17"/>
        <v>#N/A</v>
      </c>
      <c r="AM11" s="4"/>
      <c r="AN11" s="4"/>
    </row>
    <row r="12" spans="2:40" ht="13.8" thickBot="1">
      <c r="F12" s="65"/>
      <c r="G12" s="66"/>
      <c r="H12" s="69" t="e">
        <f>VLOOKUP(F12,Sp_score_ref!$A$2:$C$1517,2,FALSE)</f>
        <v>#N/A</v>
      </c>
      <c r="I12" s="70" t="e">
        <f>VLOOKUP(F12,Sp_score_ref!$A$2:$C$1517,3,FALSE)</f>
        <v>#N/A</v>
      </c>
      <c r="J12" s="56"/>
      <c r="K12" s="7" t="e">
        <f t="shared" si="0"/>
        <v>#N/A</v>
      </c>
      <c r="L12" s="7" t="e">
        <f t="shared" si="1"/>
        <v>#N/A</v>
      </c>
      <c r="M12" s="7" t="e">
        <f t="shared" si="2"/>
        <v>#N/A</v>
      </c>
      <c r="N12" s="7" t="e">
        <f t="shared" si="3"/>
        <v>#N/A</v>
      </c>
      <c r="O12" s="7" t="e">
        <f t="shared" si="4"/>
        <v>#N/A</v>
      </c>
      <c r="P12" s="7" t="e">
        <f t="shared" si="5"/>
        <v>#N/A</v>
      </c>
      <c r="Q12" s="7" t="e">
        <f t="shared" si="6"/>
        <v>#N/A</v>
      </c>
      <c r="R12" s="7" t="e">
        <f t="shared" si="7"/>
        <v>#N/A</v>
      </c>
      <c r="S12" s="7" t="e">
        <f t="shared" si="8"/>
        <v>#N/A</v>
      </c>
      <c r="T12" s="7" t="e">
        <f t="shared" si="9"/>
        <v>#N/A</v>
      </c>
      <c r="U12" s="7" t="e">
        <f t="shared" si="10"/>
        <v>#N/A</v>
      </c>
      <c r="V12" s="7" t="e">
        <f t="shared" si="11"/>
        <v>#N/A</v>
      </c>
      <c r="W12" s="7" t="e">
        <f t="shared" si="12"/>
        <v>#N/A</v>
      </c>
      <c r="X12" s="7" t="e">
        <f t="shared" si="13"/>
        <v>#N/A</v>
      </c>
      <c r="Y12" s="7" t="e">
        <f t="shared" si="14"/>
        <v>#N/A</v>
      </c>
      <c r="Z12" s="7" t="e">
        <f t="shared" si="15"/>
        <v>#N/A</v>
      </c>
      <c r="AA12" s="7" t="e">
        <f t="shared" si="16"/>
        <v>#N/A</v>
      </c>
      <c r="AB12" s="7" t="e">
        <f t="shared" si="17"/>
        <v>#N/A</v>
      </c>
      <c r="AM12" s="4"/>
      <c r="AN12" s="4"/>
    </row>
    <row r="13" spans="2:40" ht="14.1" customHeight="1" thickBot="1">
      <c r="B13" s="114" t="s">
        <v>42</v>
      </c>
      <c r="C13" s="115"/>
      <c r="D13" s="116"/>
      <c r="F13" s="65"/>
      <c r="G13" s="66"/>
      <c r="H13" s="69" t="e">
        <f>VLOOKUP(F13,Sp_score_ref!$A$2:$C$1517,2,FALSE)</f>
        <v>#N/A</v>
      </c>
      <c r="I13" s="70" t="e">
        <f>VLOOKUP(F13,Sp_score_ref!$A$2:$C$1517,3,FALSE)</f>
        <v>#N/A</v>
      </c>
      <c r="J13" s="56"/>
      <c r="K13" s="7" t="e">
        <f t="shared" si="0"/>
        <v>#N/A</v>
      </c>
      <c r="L13" s="7" t="e">
        <f t="shared" si="1"/>
        <v>#N/A</v>
      </c>
      <c r="M13" s="7" t="e">
        <f t="shared" si="2"/>
        <v>#N/A</v>
      </c>
      <c r="N13" s="7" t="e">
        <f t="shared" si="3"/>
        <v>#N/A</v>
      </c>
      <c r="O13" s="7" t="e">
        <f t="shared" si="4"/>
        <v>#N/A</v>
      </c>
      <c r="P13" s="7" t="e">
        <f t="shared" si="5"/>
        <v>#N/A</v>
      </c>
      <c r="Q13" s="7" t="e">
        <f t="shared" si="6"/>
        <v>#N/A</v>
      </c>
      <c r="R13" s="7" t="e">
        <f t="shared" si="7"/>
        <v>#N/A</v>
      </c>
      <c r="S13" s="7" t="e">
        <f t="shared" si="8"/>
        <v>#N/A</v>
      </c>
      <c r="T13" s="7" t="e">
        <f t="shared" si="9"/>
        <v>#N/A</v>
      </c>
      <c r="U13" s="7" t="e">
        <f t="shared" si="10"/>
        <v>#N/A</v>
      </c>
      <c r="V13" s="7" t="e">
        <f t="shared" si="11"/>
        <v>#N/A</v>
      </c>
      <c r="W13" s="7" t="e">
        <f t="shared" si="12"/>
        <v>#N/A</v>
      </c>
      <c r="X13" s="7" t="e">
        <f t="shared" si="13"/>
        <v>#N/A</v>
      </c>
      <c r="Y13" s="7" t="e">
        <f t="shared" si="14"/>
        <v>#N/A</v>
      </c>
      <c r="Z13" s="7" t="e">
        <f t="shared" si="15"/>
        <v>#N/A</v>
      </c>
      <c r="AA13" s="7" t="e">
        <f t="shared" si="16"/>
        <v>#N/A</v>
      </c>
      <c r="AB13" s="7" t="e">
        <f t="shared" si="17"/>
        <v>#N/A</v>
      </c>
      <c r="AM13" s="4"/>
      <c r="AN13" s="4"/>
    </row>
    <row r="14" spans="2:40" ht="13.8">
      <c r="B14" s="84">
        <v>1</v>
      </c>
      <c r="C14" s="82" t="s">
        <v>44</v>
      </c>
      <c r="D14" s="78"/>
      <c r="F14" s="65"/>
      <c r="G14" s="66"/>
      <c r="H14" s="69" t="e">
        <f>VLOOKUP(F14,Sp_score_ref!$A$2:$C$1517,2,FALSE)</f>
        <v>#N/A</v>
      </c>
      <c r="I14" s="70" t="e">
        <f>VLOOKUP(F14,Sp_score_ref!$A$2:$C$1517,3,FALSE)</f>
        <v>#N/A</v>
      </c>
      <c r="J14" s="56"/>
      <c r="K14" s="7" t="e">
        <f t="shared" si="0"/>
        <v>#N/A</v>
      </c>
      <c r="L14" s="7" t="e">
        <f t="shared" si="1"/>
        <v>#N/A</v>
      </c>
      <c r="M14" s="7" t="e">
        <f t="shared" si="2"/>
        <v>#N/A</v>
      </c>
      <c r="N14" s="7" t="e">
        <f t="shared" si="3"/>
        <v>#N/A</v>
      </c>
      <c r="O14" s="7" t="e">
        <f t="shared" si="4"/>
        <v>#N/A</v>
      </c>
      <c r="P14" s="7" t="e">
        <f t="shared" si="5"/>
        <v>#N/A</v>
      </c>
      <c r="Q14" s="7" t="e">
        <f t="shared" si="6"/>
        <v>#N/A</v>
      </c>
      <c r="R14" s="7" t="e">
        <f t="shared" si="7"/>
        <v>#N/A</v>
      </c>
      <c r="S14" s="7" t="e">
        <f t="shared" si="8"/>
        <v>#N/A</v>
      </c>
      <c r="T14" s="7" t="e">
        <f t="shared" si="9"/>
        <v>#N/A</v>
      </c>
      <c r="U14" s="7" t="e">
        <f t="shared" si="10"/>
        <v>#N/A</v>
      </c>
      <c r="V14" s="7" t="e">
        <f t="shared" si="11"/>
        <v>#N/A</v>
      </c>
      <c r="W14" s="7" t="e">
        <f t="shared" si="12"/>
        <v>#N/A</v>
      </c>
      <c r="X14" s="7" t="e">
        <f t="shared" si="13"/>
        <v>#N/A</v>
      </c>
      <c r="Y14" s="7" t="e">
        <f t="shared" si="14"/>
        <v>#N/A</v>
      </c>
      <c r="Z14" s="7" t="e">
        <f t="shared" si="15"/>
        <v>#N/A</v>
      </c>
      <c r="AA14" s="7" t="e">
        <f t="shared" si="16"/>
        <v>#N/A</v>
      </c>
      <c r="AB14" s="7" t="e">
        <f t="shared" si="17"/>
        <v>#N/A</v>
      </c>
      <c r="AM14" s="4"/>
      <c r="AN14" s="4"/>
    </row>
    <row r="15" spans="2:40" ht="13.8">
      <c r="B15" s="85">
        <v>2</v>
      </c>
      <c r="C15" s="83" t="s">
        <v>46</v>
      </c>
      <c r="D15" s="79"/>
      <c r="F15" s="65"/>
      <c r="G15" s="66"/>
      <c r="H15" s="69" t="e">
        <f>VLOOKUP(F15,Sp_score_ref!$A$2:$C$1517,2,FALSE)</f>
        <v>#N/A</v>
      </c>
      <c r="I15" s="70" t="e">
        <f>VLOOKUP(F15,Sp_score_ref!$A$2:$C$1517,3,FALSE)</f>
        <v>#N/A</v>
      </c>
      <c r="J15" s="56"/>
      <c r="K15" s="7" t="e">
        <f t="shared" si="0"/>
        <v>#N/A</v>
      </c>
      <c r="L15" s="7" t="e">
        <f t="shared" si="1"/>
        <v>#N/A</v>
      </c>
      <c r="M15" s="7" t="e">
        <f t="shared" si="2"/>
        <v>#N/A</v>
      </c>
      <c r="N15" s="7" t="e">
        <f t="shared" si="3"/>
        <v>#N/A</v>
      </c>
      <c r="O15" s="7" t="e">
        <f t="shared" si="4"/>
        <v>#N/A</v>
      </c>
      <c r="P15" s="7" t="e">
        <f t="shared" si="5"/>
        <v>#N/A</v>
      </c>
      <c r="Q15" s="7" t="e">
        <f t="shared" si="6"/>
        <v>#N/A</v>
      </c>
      <c r="R15" s="7" t="e">
        <f t="shared" si="7"/>
        <v>#N/A</v>
      </c>
      <c r="S15" s="7" t="e">
        <f t="shared" si="8"/>
        <v>#N/A</v>
      </c>
      <c r="T15" s="7" t="e">
        <f t="shared" si="9"/>
        <v>#N/A</v>
      </c>
      <c r="U15" s="7" t="e">
        <f t="shared" si="10"/>
        <v>#N/A</v>
      </c>
      <c r="V15" s="7" t="e">
        <f t="shared" si="11"/>
        <v>#N/A</v>
      </c>
      <c r="W15" s="7" t="e">
        <f t="shared" si="12"/>
        <v>#N/A</v>
      </c>
      <c r="X15" s="7" t="e">
        <f t="shared" si="13"/>
        <v>#N/A</v>
      </c>
      <c r="Y15" s="7" t="e">
        <f t="shared" si="14"/>
        <v>#N/A</v>
      </c>
      <c r="Z15" s="7" t="e">
        <f t="shared" si="15"/>
        <v>#N/A</v>
      </c>
      <c r="AA15" s="7" t="e">
        <f t="shared" si="16"/>
        <v>#N/A</v>
      </c>
      <c r="AB15" s="7" t="e">
        <f t="shared" si="17"/>
        <v>#N/A</v>
      </c>
      <c r="AM15" s="4"/>
      <c r="AN15" s="4"/>
    </row>
    <row r="16" spans="2:40" ht="13.8">
      <c r="B16" s="85">
        <v>3</v>
      </c>
      <c r="C16" s="83" t="s">
        <v>47</v>
      </c>
      <c r="D16" s="79"/>
      <c r="F16" s="65"/>
      <c r="G16" s="66"/>
      <c r="H16" s="69" t="e">
        <f>VLOOKUP(F16,Sp_score_ref!$A$2:$C$1517,2,FALSE)</f>
        <v>#N/A</v>
      </c>
      <c r="I16" s="70" t="e">
        <f>VLOOKUP(F16,Sp_score_ref!$A$2:$C$1517,3,FALSE)</f>
        <v>#N/A</v>
      </c>
      <c r="J16" s="56"/>
      <c r="K16" s="7" t="e">
        <f t="shared" si="0"/>
        <v>#N/A</v>
      </c>
      <c r="L16" s="7" t="e">
        <f t="shared" si="1"/>
        <v>#N/A</v>
      </c>
      <c r="M16" s="7" t="e">
        <f t="shared" si="2"/>
        <v>#N/A</v>
      </c>
      <c r="N16" s="7" t="e">
        <f t="shared" si="3"/>
        <v>#N/A</v>
      </c>
      <c r="O16" s="7" t="e">
        <f t="shared" si="4"/>
        <v>#N/A</v>
      </c>
      <c r="P16" s="7" t="e">
        <f t="shared" si="5"/>
        <v>#N/A</v>
      </c>
      <c r="Q16" s="7" t="e">
        <f t="shared" si="6"/>
        <v>#N/A</v>
      </c>
      <c r="R16" s="7" t="e">
        <f t="shared" si="7"/>
        <v>#N/A</v>
      </c>
      <c r="S16" s="7" t="e">
        <f t="shared" si="8"/>
        <v>#N/A</v>
      </c>
      <c r="T16" s="7" t="e">
        <f t="shared" si="9"/>
        <v>#N/A</v>
      </c>
      <c r="U16" s="7" t="e">
        <f t="shared" si="10"/>
        <v>#N/A</v>
      </c>
      <c r="V16" s="7" t="e">
        <f t="shared" si="11"/>
        <v>#N/A</v>
      </c>
      <c r="W16" s="7" t="e">
        <f t="shared" si="12"/>
        <v>#N/A</v>
      </c>
      <c r="X16" s="7" t="e">
        <f t="shared" si="13"/>
        <v>#N/A</v>
      </c>
      <c r="Y16" s="7" t="e">
        <f t="shared" si="14"/>
        <v>#N/A</v>
      </c>
      <c r="Z16" s="7" t="e">
        <f t="shared" si="15"/>
        <v>#N/A</v>
      </c>
      <c r="AA16" s="7" t="e">
        <f t="shared" si="16"/>
        <v>#N/A</v>
      </c>
      <c r="AB16" s="7" t="e">
        <f t="shared" si="17"/>
        <v>#N/A</v>
      </c>
      <c r="AM16" s="4"/>
      <c r="AN16" s="4"/>
    </row>
    <row r="17" spans="2:40" ht="13.8">
      <c r="B17" s="85">
        <v>4</v>
      </c>
      <c r="C17" s="83" t="s">
        <v>48</v>
      </c>
      <c r="D17" s="79"/>
      <c r="F17" s="65"/>
      <c r="G17" s="66"/>
      <c r="H17" s="69" t="e">
        <f>VLOOKUP(F17,Sp_score_ref!$A$2:$C$1517,2,FALSE)</f>
        <v>#N/A</v>
      </c>
      <c r="I17" s="70" t="e">
        <f>VLOOKUP(F17,Sp_score_ref!$A$2:$C$1517,3,FALSE)</f>
        <v>#N/A</v>
      </c>
      <c r="J17" s="56"/>
      <c r="K17" s="7" t="e">
        <f t="shared" si="0"/>
        <v>#N/A</v>
      </c>
      <c r="L17" s="7" t="e">
        <f t="shared" si="1"/>
        <v>#N/A</v>
      </c>
      <c r="M17" s="7" t="e">
        <f t="shared" si="2"/>
        <v>#N/A</v>
      </c>
      <c r="N17" s="7" t="e">
        <f t="shared" si="3"/>
        <v>#N/A</v>
      </c>
      <c r="O17" s="7" t="e">
        <f t="shared" si="4"/>
        <v>#N/A</v>
      </c>
      <c r="P17" s="7" t="e">
        <f t="shared" si="5"/>
        <v>#N/A</v>
      </c>
      <c r="Q17" s="7" t="e">
        <f t="shared" si="6"/>
        <v>#N/A</v>
      </c>
      <c r="R17" s="7" t="e">
        <f t="shared" si="7"/>
        <v>#N/A</v>
      </c>
      <c r="S17" s="7" t="e">
        <f t="shared" si="8"/>
        <v>#N/A</v>
      </c>
      <c r="T17" s="7" t="e">
        <f t="shared" si="9"/>
        <v>#N/A</v>
      </c>
      <c r="U17" s="7" t="e">
        <f t="shared" si="10"/>
        <v>#N/A</v>
      </c>
      <c r="V17" s="7" t="e">
        <f t="shared" si="11"/>
        <v>#N/A</v>
      </c>
      <c r="W17" s="7" t="e">
        <f t="shared" si="12"/>
        <v>#N/A</v>
      </c>
      <c r="X17" s="7" t="e">
        <f t="shared" si="13"/>
        <v>#N/A</v>
      </c>
      <c r="Y17" s="7" t="e">
        <f t="shared" si="14"/>
        <v>#N/A</v>
      </c>
      <c r="Z17" s="7" t="e">
        <f t="shared" si="15"/>
        <v>#N/A</v>
      </c>
      <c r="AA17" s="7" t="e">
        <f t="shared" si="16"/>
        <v>#N/A</v>
      </c>
      <c r="AB17" s="7" t="e">
        <f t="shared" si="17"/>
        <v>#N/A</v>
      </c>
      <c r="AM17" s="4"/>
      <c r="AN17" s="4"/>
    </row>
    <row r="18" spans="2:40" ht="13.8">
      <c r="B18" s="85">
        <v>5</v>
      </c>
      <c r="C18" s="83" t="s">
        <v>49</v>
      </c>
      <c r="D18" s="79"/>
      <c r="F18" s="65"/>
      <c r="G18" s="66"/>
      <c r="H18" s="69" t="e">
        <f>VLOOKUP(F18,Sp_score_ref!$A$2:$C$1517,2,FALSE)</f>
        <v>#N/A</v>
      </c>
      <c r="I18" s="70" t="e">
        <f>VLOOKUP(F18,Sp_score_ref!$A$2:$C$1517,3,FALSE)</f>
        <v>#N/A</v>
      </c>
      <c r="J18" s="56"/>
      <c r="K18" s="7" t="e">
        <f t="shared" si="0"/>
        <v>#N/A</v>
      </c>
      <c r="L18" s="7" t="e">
        <f t="shared" si="1"/>
        <v>#N/A</v>
      </c>
      <c r="M18" s="7" t="e">
        <f t="shared" si="2"/>
        <v>#N/A</v>
      </c>
      <c r="N18" s="7" t="e">
        <f t="shared" si="3"/>
        <v>#N/A</v>
      </c>
      <c r="O18" s="7" t="e">
        <f t="shared" si="4"/>
        <v>#N/A</v>
      </c>
      <c r="P18" s="7" t="e">
        <f t="shared" si="5"/>
        <v>#N/A</v>
      </c>
      <c r="Q18" s="7" t="e">
        <f t="shared" si="6"/>
        <v>#N/A</v>
      </c>
      <c r="R18" s="7" t="e">
        <f t="shared" si="7"/>
        <v>#N/A</v>
      </c>
      <c r="S18" s="7" t="e">
        <f t="shared" si="8"/>
        <v>#N/A</v>
      </c>
      <c r="T18" s="7" t="e">
        <f t="shared" si="9"/>
        <v>#N/A</v>
      </c>
      <c r="U18" s="7" t="e">
        <f t="shared" si="10"/>
        <v>#N/A</v>
      </c>
      <c r="V18" s="7" t="e">
        <f t="shared" si="11"/>
        <v>#N/A</v>
      </c>
      <c r="W18" s="7" t="e">
        <f t="shared" si="12"/>
        <v>#N/A</v>
      </c>
      <c r="X18" s="7" t="e">
        <f t="shared" si="13"/>
        <v>#N/A</v>
      </c>
      <c r="Y18" s="7" t="e">
        <f t="shared" si="14"/>
        <v>#N/A</v>
      </c>
      <c r="Z18" s="7" t="e">
        <f t="shared" si="15"/>
        <v>#N/A</v>
      </c>
      <c r="AA18" s="7" t="e">
        <f t="shared" si="16"/>
        <v>#N/A</v>
      </c>
      <c r="AB18" s="7" t="e">
        <f t="shared" si="17"/>
        <v>#N/A</v>
      </c>
      <c r="AM18" s="4"/>
      <c r="AN18" s="4"/>
    </row>
    <row r="19" spans="2:40" ht="13.8">
      <c r="B19" s="85">
        <v>6</v>
      </c>
      <c r="C19" s="83" t="s">
        <v>50</v>
      </c>
      <c r="D19" s="79"/>
      <c r="F19" s="65"/>
      <c r="G19" s="66"/>
      <c r="H19" s="69" t="e">
        <f>VLOOKUP(F19,Sp_score_ref!$A$2:$C$1517,2,FALSE)</f>
        <v>#N/A</v>
      </c>
      <c r="I19" s="70" t="e">
        <f>VLOOKUP(F19,Sp_score_ref!$A$2:$C$1517,3,FALSE)</f>
        <v>#N/A</v>
      </c>
      <c r="J19" s="56"/>
      <c r="K19" s="7" t="e">
        <f t="shared" si="0"/>
        <v>#N/A</v>
      </c>
      <c r="L19" s="7" t="e">
        <f t="shared" si="1"/>
        <v>#N/A</v>
      </c>
      <c r="M19" s="7" t="e">
        <f t="shared" si="2"/>
        <v>#N/A</v>
      </c>
      <c r="N19" s="7" t="e">
        <f t="shared" si="3"/>
        <v>#N/A</v>
      </c>
      <c r="O19" s="7" t="e">
        <f t="shared" si="4"/>
        <v>#N/A</v>
      </c>
      <c r="P19" s="7" t="e">
        <f t="shared" si="5"/>
        <v>#N/A</v>
      </c>
      <c r="Q19" s="7" t="e">
        <f t="shared" si="6"/>
        <v>#N/A</v>
      </c>
      <c r="R19" s="7" t="e">
        <f t="shared" si="7"/>
        <v>#N/A</v>
      </c>
      <c r="S19" s="7" t="e">
        <f t="shared" si="8"/>
        <v>#N/A</v>
      </c>
      <c r="T19" s="7" t="e">
        <f t="shared" si="9"/>
        <v>#N/A</v>
      </c>
      <c r="U19" s="7" t="e">
        <f t="shared" si="10"/>
        <v>#N/A</v>
      </c>
      <c r="V19" s="7" t="e">
        <f t="shared" si="11"/>
        <v>#N/A</v>
      </c>
      <c r="W19" s="7" t="e">
        <f t="shared" si="12"/>
        <v>#N/A</v>
      </c>
      <c r="X19" s="7" t="e">
        <f t="shared" si="13"/>
        <v>#N/A</v>
      </c>
      <c r="Y19" s="7" t="e">
        <f t="shared" si="14"/>
        <v>#N/A</v>
      </c>
      <c r="Z19" s="7" t="e">
        <f t="shared" si="15"/>
        <v>#N/A</v>
      </c>
      <c r="AA19" s="7" t="e">
        <f t="shared" si="16"/>
        <v>#N/A</v>
      </c>
      <c r="AB19" s="7" t="e">
        <f t="shared" si="17"/>
        <v>#N/A</v>
      </c>
      <c r="AM19" s="4"/>
      <c r="AN19" s="4"/>
    </row>
    <row r="20" spans="2:40" ht="15" thickBot="1">
      <c r="B20" s="44">
        <v>7</v>
      </c>
      <c r="C20" s="80" t="s">
        <v>51</v>
      </c>
      <c r="D20" s="81"/>
      <c r="F20" s="65"/>
      <c r="G20" s="66"/>
      <c r="H20" s="69" t="e">
        <f>VLOOKUP(F20,Sp_score_ref!$A$2:$C$1517,2,FALSE)</f>
        <v>#N/A</v>
      </c>
      <c r="I20" s="70" t="e">
        <f>VLOOKUP(F20,Sp_score_ref!$A$2:$C$1517,3,FALSE)</f>
        <v>#N/A</v>
      </c>
      <c r="J20" s="56"/>
      <c r="K20" s="7" t="e">
        <f t="shared" si="0"/>
        <v>#N/A</v>
      </c>
      <c r="L20" s="7" t="e">
        <f t="shared" si="1"/>
        <v>#N/A</v>
      </c>
      <c r="M20" s="7" t="e">
        <f t="shared" si="2"/>
        <v>#N/A</v>
      </c>
      <c r="N20" s="7" t="e">
        <f t="shared" si="3"/>
        <v>#N/A</v>
      </c>
      <c r="O20" s="7" t="e">
        <f t="shared" si="4"/>
        <v>#N/A</v>
      </c>
      <c r="P20" s="7" t="e">
        <f t="shared" si="5"/>
        <v>#N/A</v>
      </c>
      <c r="Q20" s="7" t="e">
        <f t="shared" si="6"/>
        <v>#N/A</v>
      </c>
      <c r="R20" s="7" t="e">
        <f t="shared" si="7"/>
        <v>#N/A</v>
      </c>
      <c r="S20" s="7" t="e">
        <f t="shared" si="8"/>
        <v>#N/A</v>
      </c>
      <c r="T20" s="7" t="e">
        <f t="shared" si="9"/>
        <v>#N/A</v>
      </c>
      <c r="U20" s="7" t="e">
        <f t="shared" si="10"/>
        <v>#N/A</v>
      </c>
      <c r="V20" s="7" t="e">
        <f t="shared" si="11"/>
        <v>#N/A</v>
      </c>
      <c r="W20" s="7" t="e">
        <f t="shared" si="12"/>
        <v>#N/A</v>
      </c>
      <c r="X20" s="7" t="e">
        <f t="shared" si="13"/>
        <v>#N/A</v>
      </c>
      <c r="Y20" s="7" t="e">
        <f t="shared" si="14"/>
        <v>#N/A</v>
      </c>
      <c r="Z20" s="7" t="e">
        <f t="shared" si="15"/>
        <v>#N/A</v>
      </c>
      <c r="AA20" s="7" t="e">
        <f t="shared" si="16"/>
        <v>#N/A</v>
      </c>
      <c r="AB20" s="7" t="e">
        <f t="shared" si="17"/>
        <v>#N/A</v>
      </c>
      <c r="AM20" s="4"/>
      <c r="AN20" s="4"/>
    </row>
    <row r="21" spans="2:40" ht="13.8" thickBot="1">
      <c r="F21" s="65"/>
      <c r="G21" s="66"/>
      <c r="H21" s="69" t="e">
        <f>VLOOKUP(F21,Sp_score_ref!$A$2:$C$1517,2,FALSE)</f>
        <v>#N/A</v>
      </c>
      <c r="I21" s="70" t="e">
        <f>VLOOKUP(F21,Sp_score_ref!$A$2:$C$1517,3,FALSE)</f>
        <v>#N/A</v>
      </c>
      <c r="J21" s="56"/>
      <c r="K21" s="7" t="e">
        <f t="shared" si="0"/>
        <v>#N/A</v>
      </c>
      <c r="L21" s="7" t="e">
        <f t="shared" si="1"/>
        <v>#N/A</v>
      </c>
      <c r="M21" s="7" t="e">
        <f t="shared" si="2"/>
        <v>#N/A</v>
      </c>
      <c r="N21" s="7" t="e">
        <f t="shared" si="3"/>
        <v>#N/A</v>
      </c>
      <c r="O21" s="7" t="e">
        <f t="shared" si="4"/>
        <v>#N/A</v>
      </c>
      <c r="P21" s="7" t="e">
        <f t="shared" si="5"/>
        <v>#N/A</v>
      </c>
      <c r="Q21" s="7" t="e">
        <f t="shared" si="6"/>
        <v>#N/A</v>
      </c>
      <c r="R21" s="7" t="e">
        <f t="shared" si="7"/>
        <v>#N/A</v>
      </c>
      <c r="S21" s="7" t="e">
        <f t="shared" si="8"/>
        <v>#N/A</v>
      </c>
      <c r="T21" s="7" t="e">
        <f t="shared" si="9"/>
        <v>#N/A</v>
      </c>
      <c r="U21" s="7" t="e">
        <f t="shared" si="10"/>
        <v>#N/A</v>
      </c>
      <c r="V21" s="7" t="e">
        <f t="shared" si="11"/>
        <v>#N/A</v>
      </c>
      <c r="W21" s="7" t="e">
        <f t="shared" si="12"/>
        <v>#N/A</v>
      </c>
      <c r="X21" s="7" t="e">
        <f t="shared" si="13"/>
        <v>#N/A</v>
      </c>
      <c r="Y21" s="7" t="e">
        <f t="shared" si="14"/>
        <v>#N/A</v>
      </c>
      <c r="Z21" s="7" t="e">
        <f t="shared" si="15"/>
        <v>#N/A</v>
      </c>
      <c r="AA21" s="7" t="e">
        <f t="shared" si="16"/>
        <v>#N/A</v>
      </c>
      <c r="AB21" s="7" t="e">
        <f t="shared" si="17"/>
        <v>#N/A</v>
      </c>
      <c r="AM21" s="4"/>
      <c r="AN21" s="4"/>
    </row>
    <row r="22" spans="2:40">
      <c r="B22" s="131" t="s">
        <v>52</v>
      </c>
      <c r="C22" s="132"/>
      <c r="D22" s="133"/>
      <c r="F22" s="65"/>
      <c r="G22" s="66"/>
      <c r="H22" s="69" t="e">
        <f>VLOOKUP(F22,Sp_score_ref!$A$2:$C$1517,2,FALSE)</f>
        <v>#N/A</v>
      </c>
      <c r="I22" s="70" t="e">
        <f>VLOOKUP(F22,Sp_score_ref!$A$2:$C$1517,3,FALSE)</f>
        <v>#N/A</v>
      </c>
      <c r="J22" s="56"/>
      <c r="K22" s="7" t="e">
        <f t="shared" si="0"/>
        <v>#N/A</v>
      </c>
      <c r="L22" s="7" t="e">
        <f t="shared" si="1"/>
        <v>#N/A</v>
      </c>
      <c r="M22" s="7" t="e">
        <f t="shared" si="2"/>
        <v>#N/A</v>
      </c>
      <c r="N22" s="7" t="e">
        <f t="shared" si="3"/>
        <v>#N/A</v>
      </c>
      <c r="O22" s="7" t="e">
        <f t="shared" si="4"/>
        <v>#N/A</v>
      </c>
      <c r="P22" s="7" t="e">
        <f t="shared" si="5"/>
        <v>#N/A</v>
      </c>
      <c r="Q22" s="7" t="e">
        <f t="shared" si="6"/>
        <v>#N/A</v>
      </c>
      <c r="R22" s="7" t="e">
        <f t="shared" si="7"/>
        <v>#N/A</v>
      </c>
      <c r="S22" s="7" t="e">
        <f t="shared" si="8"/>
        <v>#N/A</v>
      </c>
      <c r="T22" s="7" t="e">
        <f t="shared" si="9"/>
        <v>#N/A</v>
      </c>
      <c r="U22" s="7" t="e">
        <f t="shared" si="10"/>
        <v>#N/A</v>
      </c>
      <c r="V22" s="7" t="e">
        <f t="shared" si="11"/>
        <v>#N/A</v>
      </c>
      <c r="W22" s="7" t="e">
        <f t="shared" si="12"/>
        <v>#N/A</v>
      </c>
      <c r="X22" s="7" t="e">
        <f t="shared" si="13"/>
        <v>#N/A</v>
      </c>
      <c r="Y22" s="7" t="e">
        <f t="shared" si="14"/>
        <v>#N/A</v>
      </c>
      <c r="Z22" s="7" t="e">
        <f t="shared" si="15"/>
        <v>#N/A</v>
      </c>
      <c r="AA22" s="7" t="e">
        <f t="shared" si="16"/>
        <v>#N/A</v>
      </c>
      <c r="AB22" s="7" t="e">
        <f t="shared" si="17"/>
        <v>#N/A</v>
      </c>
      <c r="AM22" s="4"/>
      <c r="AN22" s="4"/>
    </row>
    <row r="23" spans="2:40" ht="13.8" thickBot="1">
      <c r="B23" s="134"/>
      <c r="C23" s="135"/>
      <c r="D23" s="136"/>
      <c r="F23" s="65"/>
      <c r="G23" s="66"/>
      <c r="H23" s="69" t="e">
        <f>VLOOKUP(F23,Sp_score_ref!$A$2:$C$1517,2,FALSE)</f>
        <v>#N/A</v>
      </c>
      <c r="I23" s="70" t="e">
        <f>VLOOKUP(F23,Sp_score_ref!$A$2:$C$1517,3,FALSE)</f>
        <v>#N/A</v>
      </c>
      <c r="J23" s="56"/>
      <c r="K23" s="7" t="e">
        <f t="shared" si="0"/>
        <v>#N/A</v>
      </c>
      <c r="L23" s="7" t="e">
        <f t="shared" si="1"/>
        <v>#N/A</v>
      </c>
      <c r="M23" s="7" t="e">
        <f t="shared" si="2"/>
        <v>#N/A</v>
      </c>
      <c r="N23" s="7" t="e">
        <f t="shared" si="3"/>
        <v>#N/A</v>
      </c>
      <c r="O23" s="7" t="e">
        <f t="shared" si="4"/>
        <v>#N/A</v>
      </c>
      <c r="P23" s="7" t="e">
        <f t="shared" si="5"/>
        <v>#N/A</v>
      </c>
      <c r="Q23" s="7" t="e">
        <f t="shared" si="6"/>
        <v>#N/A</v>
      </c>
      <c r="R23" s="7" t="e">
        <f t="shared" si="7"/>
        <v>#N/A</v>
      </c>
      <c r="S23" s="7" t="e">
        <f t="shared" si="8"/>
        <v>#N/A</v>
      </c>
      <c r="T23" s="7" t="e">
        <f t="shared" si="9"/>
        <v>#N/A</v>
      </c>
      <c r="U23" s="7" t="e">
        <f t="shared" si="10"/>
        <v>#N/A</v>
      </c>
      <c r="V23" s="7" t="e">
        <f t="shared" si="11"/>
        <v>#N/A</v>
      </c>
      <c r="W23" s="7" t="e">
        <f t="shared" si="12"/>
        <v>#N/A</v>
      </c>
      <c r="X23" s="7" t="e">
        <f t="shared" si="13"/>
        <v>#N/A</v>
      </c>
      <c r="Y23" s="7" t="e">
        <f t="shared" si="14"/>
        <v>#N/A</v>
      </c>
      <c r="Z23" s="7" t="e">
        <f t="shared" si="15"/>
        <v>#N/A</v>
      </c>
      <c r="AA23" s="7" t="e">
        <f t="shared" si="16"/>
        <v>#N/A</v>
      </c>
      <c r="AB23" s="7" t="e">
        <f t="shared" si="17"/>
        <v>#N/A</v>
      </c>
      <c r="AM23" s="4"/>
      <c r="AN23" s="4"/>
    </row>
    <row r="24" spans="2:40" ht="13.35" customHeight="1" thickBot="1">
      <c r="E24"/>
      <c r="F24" s="65"/>
      <c r="G24" s="66"/>
      <c r="H24" s="69" t="e">
        <f>VLOOKUP(F24,Sp_score_ref!$A$2:$C$1517,2,FALSE)</f>
        <v>#N/A</v>
      </c>
      <c r="I24" s="70" t="e">
        <f>VLOOKUP(F24,Sp_score_ref!$A$2:$C$1517,3,FALSE)</f>
        <v>#N/A</v>
      </c>
      <c r="J24" s="56"/>
      <c r="K24" s="7" t="e">
        <f t="shared" si="0"/>
        <v>#N/A</v>
      </c>
      <c r="L24" s="7" t="e">
        <f t="shared" si="1"/>
        <v>#N/A</v>
      </c>
      <c r="M24" s="7" t="e">
        <f t="shared" si="2"/>
        <v>#N/A</v>
      </c>
      <c r="N24" s="7" t="e">
        <f t="shared" si="3"/>
        <v>#N/A</v>
      </c>
      <c r="O24" s="7" t="e">
        <f t="shared" si="4"/>
        <v>#N/A</v>
      </c>
      <c r="P24" s="7" t="e">
        <f t="shared" si="5"/>
        <v>#N/A</v>
      </c>
      <c r="Q24" s="7" t="e">
        <f t="shared" si="6"/>
        <v>#N/A</v>
      </c>
      <c r="R24" s="7" t="e">
        <f t="shared" si="7"/>
        <v>#N/A</v>
      </c>
      <c r="S24" s="7" t="e">
        <f t="shared" si="8"/>
        <v>#N/A</v>
      </c>
      <c r="T24" s="7" t="e">
        <f t="shared" si="9"/>
        <v>#N/A</v>
      </c>
      <c r="U24" s="7" t="e">
        <f t="shared" si="10"/>
        <v>#N/A</v>
      </c>
      <c r="V24" s="7" t="e">
        <f t="shared" si="11"/>
        <v>#N/A</v>
      </c>
      <c r="W24" s="7" t="e">
        <f t="shared" si="12"/>
        <v>#N/A</v>
      </c>
      <c r="X24" s="7" t="e">
        <f t="shared" si="13"/>
        <v>#N/A</v>
      </c>
      <c r="Y24" s="7" t="e">
        <f t="shared" si="14"/>
        <v>#N/A</v>
      </c>
      <c r="Z24" s="7" t="e">
        <f t="shared" si="15"/>
        <v>#N/A</v>
      </c>
      <c r="AA24" s="7" t="e">
        <f t="shared" si="16"/>
        <v>#N/A</v>
      </c>
      <c r="AB24" s="7" t="e">
        <f t="shared" si="17"/>
        <v>#N/A</v>
      </c>
      <c r="AM24" s="4"/>
      <c r="AN24" s="4"/>
    </row>
    <row r="25" spans="2:40" ht="14.1" customHeight="1">
      <c r="B25" s="137" t="s">
        <v>53</v>
      </c>
      <c r="C25" s="138"/>
      <c r="D25" s="139"/>
      <c r="F25" s="65"/>
      <c r="G25" s="66"/>
      <c r="H25" s="69" t="e">
        <f>VLOOKUP(F25,Sp_score_ref!$A$2:$C$1517,2,FALSE)</f>
        <v>#N/A</v>
      </c>
      <c r="I25" s="70" t="e">
        <f>VLOOKUP(F25,Sp_score_ref!$A$2:$C$1517,3,FALSE)</f>
        <v>#N/A</v>
      </c>
      <c r="J25" s="56"/>
      <c r="K25" s="7" t="e">
        <f t="shared" si="0"/>
        <v>#N/A</v>
      </c>
      <c r="L25" s="7" t="e">
        <f t="shared" si="1"/>
        <v>#N/A</v>
      </c>
      <c r="M25" s="7" t="e">
        <f t="shared" si="2"/>
        <v>#N/A</v>
      </c>
      <c r="N25" s="7" t="e">
        <f t="shared" si="3"/>
        <v>#N/A</v>
      </c>
      <c r="O25" s="7" t="e">
        <f t="shared" si="4"/>
        <v>#N/A</v>
      </c>
      <c r="P25" s="7" t="e">
        <f t="shared" si="5"/>
        <v>#N/A</v>
      </c>
      <c r="Q25" s="7" t="e">
        <f t="shared" si="6"/>
        <v>#N/A</v>
      </c>
      <c r="R25" s="7" t="e">
        <f t="shared" si="7"/>
        <v>#N/A</v>
      </c>
      <c r="S25" s="7" t="e">
        <f t="shared" si="8"/>
        <v>#N/A</v>
      </c>
      <c r="T25" s="7" t="e">
        <f t="shared" si="9"/>
        <v>#N/A</v>
      </c>
      <c r="U25" s="7" t="e">
        <f t="shared" si="10"/>
        <v>#N/A</v>
      </c>
      <c r="V25" s="7" t="e">
        <f t="shared" si="11"/>
        <v>#N/A</v>
      </c>
      <c r="W25" s="7" t="e">
        <f t="shared" si="12"/>
        <v>#N/A</v>
      </c>
      <c r="X25" s="7" t="e">
        <f t="shared" si="13"/>
        <v>#N/A</v>
      </c>
      <c r="Y25" s="7" t="e">
        <f t="shared" si="14"/>
        <v>#N/A</v>
      </c>
      <c r="Z25" s="7" t="e">
        <f t="shared" si="15"/>
        <v>#N/A</v>
      </c>
      <c r="AA25" s="7" t="e">
        <f t="shared" si="16"/>
        <v>#N/A</v>
      </c>
      <c r="AB25" s="7" t="e">
        <f t="shared" si="17"/>
        <v>#N/A</v>
      </c>
      <c r="AM25" s="4"/>
      <c r="AN25" s="4"/>
    </row>
    <row r="26" spans="2:40" ht="14.1" customHeight="1" thickBot="1">
      <c r="B26" s="140"/>
      <c r="C26" s="141"/>
      <c r="D26" s="142"/>
      <c r="F26" s="65"/>
      <c r="G26" s="66"/>
      <c r="H26" s="69" t="e">
        <f>VLOOKUP(F26,Sp_score_ref!$A$2:$C$1517,2,FALSE)</f>
        <v>#N/A</v>
      </c>
      <c r="I26" s="70" t="e">
        <f>VLOOKUP(F26,Sp_score_ref!$A$2:$C$1517,3,FALSE)</f>
        <v>#N/A</v>
      </c>
      <c r="J26" s="56"/>
      <c r="K26" s="7" t="e">
        <f t="shared" si="0"/>
        <v>#N/A</v>
      </c>
      <c r="L26" s="7" t="e">
        <f t="shared" si="1"/>
        <v>#N/A</v>
      </c>
      <c r="M26" s="7" t="e">
        <f t="shared" si="2"/>
        <v>#N/A</v>
      </c>
      <c r="N26" s="7" t="e">
        <f t="shared" si="3"/>
        <v>#N/A</v>
      </c>
      <c r="O26" s="7" t="e">
        <f t="shared" si="4"/>
        <v>#N/A</v>
      </c>
      <c r="P26" s="7" t="e">
        <f t="shared" si="5"/>
        <v>#N/A</v>
      </c>
      <c r="Q26" s="7" t="e">
        <f t="shared" si="6"/>
        <v>#N/A</v>
      </c>
      <c r="R26" s="7" t="e">
        <f t="shared" si="7"/>
        <v>#N/A</v>
      </c>
      <c r="S26" s="7" t="e">
        <f t="shared" si="8"/>
        <v>#N/A</v>
      </c>
      <c r="T26" s="7" t="e">
        <f t="shared" si="9"/>
        <v>#N/A</v>
      </c>
      <c r="U26" s="7" t="e">
        <f t="shared" si="10"/>
        <v>#N/A</v>
      </c>
      <c r="V26" s="7" t="e">
        <f t="shared" si="11"/>
        <v>#N/A</v>
      </c>
      <c r="W26" s="7" t="e">
        <f t="shared" si="12"/>
        <v>#N/A</v>
      </c>
      <c r="X26" s="7" t="e">
        <f t="shared" si="13"/>
        <v>#N/A</v>
      </c>
      <c r="Y26" s="7" t="e">
        <f t="shared" si="14"/>
        <v>#N/A</v>
      </c>
      <c r="Z26" s="7" t="e">
        <f t="shared" si="15"/>
        <v>#N/A</v>
      </c>
      <c r="AA26" s="7" t="e">
        <f t="shared" si="16"/>
        <v>#N/A</v>
      </c>
      <c r="AB26" s="7" t="e">
        <f t="shared" si="17"/>
        <v>#N/A</v>
      </c>
      <c r="AM26" s="4"/>
      <c r="AN26" s="4"/>
    </row>
    <row r="27" spans="2:40" ht="13.8" thickBot="1">
      <c r="F27" s="65"/>
      <c r="G27" s="66"/>
      <c r="H27" s="69" t="e">
        <f>VLOOKUP(F27,Sp_score_ref!$A$2:$C$1517,2,FALSE)</f>
        <v>#N/A</v>
      </c>
      <c r="I27" s="70" t="e">
        <f>VLOOKUP(F27,Sp_score_ref!$A$2:$C$1517,3,FALSE)</f>
        <v>#N/A</v>
      </c>
      <c r="J27" s="56"/>
      <c r="K27" s="7" t="e">
        <f t="shared" si="0"/>
        <v>#N/A</v>
      </c>
      <c r="L27" s="7" t="e">
        <f t="shared" si="1"/>
        <v>#N/A</v>
      </c>
      <c r="M27" s="7" t="e">
        <f t="shared" si="2"/>
        <v>#N/A</v>
      </c>
      <c r="N27" s="7" t="e">
        <f t="shared" si="3"/>
        <v>#N/A</v>
      </c>
      <c r="O27" s="7" t="e">
        <f t="shared" si="4"/>
        <v>#N/A</v>
      </c>
      <c r="P27" s="7" t="e">
        <f t="shared" si="5"/>
        <v>#N/A</v>
      </c>
      <c r="Q27" s="7" t="e">
        <f t="shared" si="6"/>
        <v>#N/A</v>
      </c>
      <c r="R27" s="7" t="e">
        <f t="shared" si="7"/>
        <v>#N/A</v>
      </c>
      <c r="S27" s="7" t="e">
        <f t="shared" si="8"/>
        <v>#N/A</v>
      </c>
      <c r="T27" s="7" t="e">
        <f t="shared" si="9"/>
        <v>#N/A</v>
      </c>
      <c r="U27" s="7" t="e">
        <f t="shared" si="10"/>
        <v>#N/A</v>
      </c>
      <c r="V27" s="7" t="e">
        <f t="shared" si="11"/>
        <v>#N/A</v>
      </c>
      <c r="W27" s="7" t="e">
        <f t="shared" si="12"/>
        <v>#N/A</v>
      </c>
      <c r="X27" s="7" t="e">
        <f t="shared" si="13"/>
        <v>#N/A</v>
      </c>
      <c r="Y27" s="7" t="e">
        <f t="shared" si="14"/>
        <v>#N/A</v>
      </c>
      <c r="Z27" s="7" t="e">
        <f t="shared" si="15"/>
        <v>#N/A</v>
      </c>
      <c r="AA27" s="7" t="e">
        <f t="shared" si="16"/>
        <v>#N/A</v>
      </c>
      <c r="AB27" s="7" t="e">
        <f t="shared" si="17"/>
        <v>#N/A</v>
      </c>
      <c r="AM27" s="4"/>
      <c r="AN27" s="4"/>
    </row>
    <row r="28" spans="2:40" ht="14.7" customHeight="1">
      <c r="B28" s="119" t="s">
        <v>54</v>
      </c>
      <c r="C28" s="120"/>
      <c r="D28" s="121"/>
      <c r="F28" s="65"/>
      <c r="G28" s="66"/>
      <c r="H28" s="69" t="e">
        <f>VLOOKUP(F28,Sp_score_ref!$A$2:$C$1517,2,FALSE)</f>
        <v>#N/A</v>
      </c>
      <c r="I28" s="70" t="e">
        <f>VLOOKUP(F28,Sp_score_ref!$A$2:$C$1517,3,FALSE)</f>
        <v>#N/A</v>
      </c>
      <c r="J28" s="56"/>
      <c r="K28" s="7" t="e">
        <f t="shared" si="0"/>
        <v>#N/A</v>
      </c>
      <c r="L28" s="7" t="e">
        <f t="shared" si="1"/>
        <v>#N/A</v>
      </c>
      <c r="M28" s="7" t="e">
        <f t="shared" si="2"/>
        <v>#N/A</v>
      </c>
      <c r="N28" s="7" t="e">
        <f t="shared" si="3"/>
        <v>#N/A</v>
      </c>
      <c r="O28" s="7" t="e">
        <f t="shared" si="4"/>
        <v>#N/A</v>
      </c>
      <c r="P28" s="7" t="e">
        <f t="shared" si="5"/>
        <v>#N/A</v>
      </c>
      <c r="Q28" s="7" t="e">
        <f t="shared" si="6"/>
        <v>#N/A</v>
      </c>
      <c r="R28" s="7" t="e">
        <f t="shared" si="7"/>
        <v>#N/A</v>
      </c>
      <c r="S28" s="7" t="e">
        <f t="shared" si="8"/>
        <v>#N/A</v>
      </c>
      <c r="T28" s="7" t="e">
        <f t="shared" si="9"/>
        <v>#N/A</v>
      </c>
      <c r="U28" s="7" t="e">
        <f t="shared" si="10"/>
        <v>#N/A</v>
      </c>
      <c r="V28" s="7" t="e">
        <f t="shared" si="11"/>
        <v>#N/A</v>
      </c>
      <c r="W28" s="7" t="e">
        <f t="shared" si="12"/>
        <v>#N/A</v>
      </c>
      <c r="X28" s="7" t="e">
        <f t="shared" si="13"/>
        <v>#N/A</v>
      </c>
      <c r="Y28" s="7" t="e">
        <f t="shared" si="14"/>
        <v>#N/A</v>
      </c>
      <c r="Z28" s="7" t="e">
        <f t="shared" si="15"/>
        <v>#N/A</v>
      </c>
      <c r="AA28" s="7" t="e">
        <f t="shared" si="16"/>
        <v>#N/A</v>
      </c>
      <c r="AB28" s="7" t="e">
        <f t="shared" si="17"/>
        <v>#N/A</v>
      </c>
      <c r="AM28" s="4"/>
      <c r="AN28" s="4"/>
    </row>
    <row r="29" spans="2:40" ht="13.8" thickBot="1">
      <c r="B29" s="122"/>
      <c r="C29" s="123"/>
      <c r="D29" s="124"/>
      <c r="F29" s="65"/>
      <c r="G29" s="66"/>
      <c r="H29" s="69" t="e">
        <f>VLOOKUP(F29,Sp_score_ref!$A$2:$C$1517,2,FALSE)</f>
        <v>#N/A</v>
      </c>
      <c r="I29" s="70" t="e">
        <f>VLOOKUP(F29,Sp_score_ref!$A$2:$C$1517,3,FALSE)</f>
        <v>#N/A</v>
      </c>
      <c r="J29" s="56"/>
      <c r="K29" s="7" t="e">
        <f t="shared" si="0"/>
        <v>#N/A</v>
      </c>
      <c r="L29" s="7" t="e">
        <f t="shared" si="1"/>
        <v>#N/A</v>
      </c>
      <c r="M29" s="7" t="e">
        <f t="shared" si="2"/>
        <v>#N/A</v>
      </c>
      <c r="N29" s="7" t="e">
        <f t="shared" si="3"/>
        <v>#N/A</v>
      </c>
      <c r="O29" s="7" t="e">
        <f t="shared" si="4"/>
        <v>#N/A</v>
      </c>
      <c r="P29" s="7" t="e">
        <f t="shared" si="5"/>
        <v>#N/A</v>
      </c>
      <c r="Q29" s="7" t="e">
        <f t="shared" si="6"/>
        <v>#N/A</v>
      </c>
      <c r="R29" s="7" t="e">
        <f t="shared" si="7"/>
        <v>#N/A</v>
      </c>
      <c r="S29" s="7" t="e">
        <f t="shared" si="8"/>
        <v>#N/A</v>
      </c>
      <c r="T29" s="7" t="e">
        <f t="shared" si="9"/>
        <v>#N/A</v>
      </c>
      <c r="U29" s="7" t="e">
        <f t="shared" si="10"/>
        <v>#N/A</v>
      </c>
      <c r="V29" s="7" t="e">
        <f t="shared" si="11"/>
        <v>#N/A</v>
      </c>
      <c r="W29" s="7" t="e">
        <f t="shared" si="12"/>
        <v>#N/A</v>
      </c>
      <c r="X29" s="7" t="e">
        <f t="shared" si="13"/>
        <v>#N/A</v>
      </c>
      <c r="Y29" s="7" t="e">
        <f t="shared" si="14"/>
        <v>#N/A</v>
      </c>
      <c r="Z29" s="7" t="e">
        <f t="shared" si="15"/>
        <v>#N/A</v>
      </c>
      <c r="AA29" s="7" t="e">
        <f t="shared" si="16"/>
        <v>#N/A</v>
      </c>
      <c r="AB29" s="7" t="e">
        <f t="shared" si="17"/>
        <v>#N/A</v>
      </c>
      <c r="AM29" s="4"/>
      <c r="AN29" s="4"/>
    </row>
    <row r="30" spans="2:40" ht="13.8" thickBot="1">
      <c r="F30" s="65"/>
      <c r="G30" s="66"/>
      <c r="H30" s="69" t="e">
        <f>VLOOKUP(F30,Sp_score_ref!$A$2:$C$1517,2,FALSE)</f>
        <v>#N/A</v>
      </c>
      <c r="I30" s="70" t="e">
        <f>VLOOKUP(F30,Sp_score_ref!$A$2:$C$1517,3,FALSE)</f>
        <v>#N/A</v>
      </c>
      <c r="J30" s="56"/>
      <c r="K30" s="7" t="e">
        <f t="shared" si="0"/>
        <v>#N/A</v>
      </c>
      <c r="L30" s="7" t="e">
        <f t="shared" si="1"/>
        <v>#N/A</v>
      </c>
      <c r="M30" s="7" t="e">
        <f t="shared" si="2"/>
        <v>#N/A</v>
      </c>
      <c r="N30" s="7" t="e">
        <f t="shared" si="3"/>
        <v>#N/A</v>
      </c>
      <c r="O30" s="7" t="e">
        <f t="shared" si="4"/>
        <v>#N/A</v>
      </c>
      <c r="P30" s="7" t="e">
        <f t="shared" si="5"/>
        <v>#N/A</v>
      </c>
      <c r="Q30" s="7" t="e">
        <f t="shared" si="6"/>
        <v>#N/A</v>
      </c>
      <c r="R30" s="7" t="e">
        <f t="shared" si="7"/>
        <v>#N/A</v>
      </c>
      <c r="S30" s="7" t="e">
        <f t="shared" si="8"/>
        <v>#N/A</v>
      </c>
      <c r="T30" s="7" t="e">
        <f t="shared" si="9"/>
        <v>#N/A</v>
      </c>
      <c r="U30" s="7" t="e">
        <f t="shared" si="10"/>
        <v>#N/A</v>
      </c>
      <c r="V30" s="7" t="e">
        <f t="shared" si="11"/>
        <v>#N/A</v>
      </c>
      <c r="W30" s="7" t="e">
        <f t="shared" si="12"/>
        <v>#N/A</v>
      </c>
      <c r="X30" s="7" t="e">
        <f t="shared" si="13"/>
        <v>#N/A</v>
      </c>
      <c r="Y30" s="7" t="e">
        <f t="shared" si="14"/>
        <v>#N/A</v>
      </c>
      <c r="Z30" s="7" t="e">
        <f t="shared" si="15"/>
        <v>#N/A</v>
      </c>
      <c r="AA30" s="7" t="e">
        <f t="shared" si="16"/>
        <v>#N/A</v>
      </c>
      <c r="AB30" s="7" t="e">
        <f t="shared" si="17"/>
        <v>#N/A</v>
      </c>
      <c r="AM30" s="4"/>
      <c r="AN30" s="4"/>
    </row>
    <row r="31" spans="2:40" ht="16.2" thickBot="1">
      <c r="C31" s="145" t="s">
        <v>55</v>
      </c>
      <c r="D31" s="146"/>
      <c r="F31" s="65"/>
      <c r="G31" s="66"/>
      <c r="H31" s="69" t="e">
        <f>VLOOKUP(F31,Sp_score_ref!$A$2:$C$1517,2,FALSE)</f>
        <v>#N/A</v>
      </c>
      <c r="I31" s="70" t="e">
        <f>VLOOKUP(F31,Sp_score_ref!$A$2:$C$1517,3,FALSE)</f>
        <v>#N/A</v>
      </c>
      <c r="J31" s="56"/>
      <c r="K31" s="7" t="e">
        <f t="shared" si="0"/>
        <v>#N/A</v>
      </c>
      <c r="L31" s="7" t="e">
        <f t="shared" si="1"/>
        <v>#N/A</v>
      </c>
      <c r="M31" s="7" t="e">
        <f t="shared" si="2"/>
        <v>#N/A</v>
      </c>
      <c r="N31" s="7" t="e">
        <f t="shared" si="3"/>
        <v>#N/A</v>
      </c>
      <c r="O31" s="7" t="e">
        <f t="shared" si="4"/>
        <v>#N/A</v>
      </c>
      <c r="P31" s="7" t="e">
        <f t="shared" si="5"/>
        <v>#N/A</v>
      </c>
      <c r="Q31" s="7" t="e">
        <f t="shared" si="6"/>
        <v>#N/A</v>
      </c>
      <c r="R31" s="7" t="e">
        <f t="shared" si="7"/>
        <v>#N/A</v>
      </c>
      <c r="S31" s="7" t="e">
        <f t="shared" si="8"/>
        <v>#N/A</v>
      </c>
      <c r="T31" s="7" t="e">
        <f t="shared" si="9"/>
        <v>#N/A</v>
      </c>
      <c r="U31" s="7" t="e">
        <f t="shared" si="10"/>
        <v>#N/A</v>
      </c>
      <c r="V31" s="7" t="e">
        <f t="shared" si="11"/>
        <v>#N/A</v>
      </c>
      <c r="W31" s="7" t="e">
        <f t="shared" si="12"/>
        <v>#N/A</v>
      </c>
      <c r="X31" s="7" t="e">
        <f t="shared" si="13"/>
        <v>#N/A</v>
      </c>
      <c r="Y31" s="7" t="e">
        <f t="shared" si="14"/>
        <v>#N/A</v>
      </c>
      <c r="Z31" s="7" t="e">
        <f t="shared" si="15"/>
        <v>#N/A</v>
      </c>
      <c r="AA31" s="7" t="e">
        <f t="shared" si="16"/>
        <v>#N/A</v>
      </c>
      <c r="AB31" s="7" t="e">
        <f t="shared" si="17"/>
        <v>#N/A</v>
      </c>
      <c r="AM31" s="4"/>
      <c r="AN31" s="4"/>
    </row>
    <row r="32" spans="2:40" ht="13.8" thickBot="1">
      <c r="C32" s="43" t="s">
        <v>56</v>
      </c>
      <c r="D32" s="11"/>
      <c r="F32" s="65"/>
      <c r="G32" s="66"/>
      <c r="H32" s="69" t="e">
        <f>VLOOKUP(F32,Sp_score_ref!$A$2:$C$1517,2,FALSE)</f>
        <v>#N/A</v>
      </c>
      <c r="I32" s="70" t="e">
        <f>VLOOKUP(F32,Sp_score_ref!$A$2:$C$1517,3,FALSE)</f>
        <v>#N/A</v>
      </c>
      <c r="J32" s="56"/>
      <c r="K32" s="7" t="e">
        <f t="shared" si="0"/>
        <v>#N/A</v>
      </c>
      <c r="L32" s="7" t="e">
        <f t="shared" si="1"/>
        <v>#N/A</v>
      </c>
      <c r="M32" s="7" t="e">
        <f t="shared" si="2"/>
        <v>#N/A</v>
      </c>
      <c r="N32" s="7" t="e">
        <f t="shared" si="3"/>
        <v>#N/A</v>
      </c>
      <c r="O32" s="7" t="e">
        <f t="shared" si="4"/>
        <v>#N/A</v>
      </c>
      <c r="P32" s="7" t="e">
        <f t="shared" si="5"/>
        <v>#N/A</v>
      </c>
      <c r="Q32" s="7" t="e">
        <f t="shared" si="6"/>
        <v>#N/A</v>
      </c>
      <c r="R32" s="7" t="e">
        <f t="shared" si="7"/>
        <v>#N/A</v>
      </c>
      <c r="S32" s="7" t="e">
        <f t="shared" si="8"/>
        <v>#N/A</v>
      </c>
      <c r="T32" s="7" t="e">
        <f t="shared" si="9"/>
        <v>#N/A</v>
      </c>
      <c r="U32" s="7" t="e">
        <f t="shared" si="10"/>
        <v>#N/A</v>
      </c>
      <c r="V32" s="7" t="e">
        <f t="shared" si="11"/>
        <v>#N/A</v>
      </c>
      <c r="W32" s="7" t="e">
        <f t="shared" si="12"/>
        <v>#N/A</v>
      </c>
      <c r="X32" s="7" t="e">
        <f t="shared" si="13"/>
        <v>#N/A</v>
      </c>
      <c r="Y32" s="7" t="e">
        <f t="shared" si="14"/>
        <v>#N/A</v>
      </c>
      <c r="Z32" s="7" t="e">
        <f t="shared" si="15"/>
        <v>#N/A</v>
      </c>
      <c r="AA32" s="7" t="e">
        <f t="shared" si="16"/>
        <v>#N/A</v>
      </c>
      <c r="AB32" s="7" t="e">
        <f t="shared" si="17"/>
        <v>#N/A</v>
      </c>
      <c r="AM32" s="4"/>
      <c r="AN32" s="4"/>
    </row>
    <row r="33" spans="3:40" ht="13.8" thickBot="1">
      <c r="C33" s="43" t="s">
        <v>57</v>
      </c>
      <c r="D33" s="11"/>
      <c r="F33" s="65"/>
      <c r="G33" s="66"/>
      <c r="H33" s="69" t="e">
        <f>VLOOKUP(F33,Sp_score_ref!$A$2:$C$1517,2,FALSE)</f>
        <v>#N/A</v>
      </c>
      <c r="I33" s="70" t="e">
        <f>VLOOKUP(F33,Sp_score_ref!$A$2:$C$1517,3,FALSE)</f>
        <v>#N/A</v>
      </c>
      <c r="J33" s="56"/>
      <c r="K33" s="7" t="e">
        <f t="shared" si="0"/>
        <v>#N/A</v>
      </c>
      <c r="L33" s="7" t="e">
        <f t="shared" si="1"/>
        <v>#N/A</v>
      </c>
      <c r="M33" s="7" t="e">
        <f t="shared" si="2"/>
        <v>#N/A</v>
      </c>
      <c r="N33" s="7" t="e">
        <f t="shared" si="3"/>
        <v>#N/A</v>
      </c>
      <c r="O33" s="7" t="e">
        <f t="shared" si="4"/>
        <v>#N/A</v>
      </c>
      <c r="P33" s="7" t="e">
        <f t="shared" si="5"/>
        <v>#N/A</v>
      </c>
      <c r="Q33" s="7" t="e">
        <f t="shared" si="6"/>
        <v>#N/A</v>
      </c>
      <c r="R33" s="7" t="e">
        <f t="shared" si="7"/>
        <v>#N/A</v>
      </c>
      <c r="S33" s="7" t="e">
        <f t="shared" si="8"/>
        <v>#N/A</v>
      </c>
      <c r="T33" s="7" t="e">
        <f t="shared" si="9"/>
        <v>#N/A</v>
      </c>
      <c r="U33" s="7" t="e">
        <f t="shared" si="10"/>
        <v>#N/A</v>
      </c>
      <c r="V33" s="7" t="e">
        <f t="shared" si="11"/>
        <v>#N/A</v>
      </c>
      <c r="W33" s="7" t="e">
        <f t="shared" si="12"/>
        <v>#N/A</v>
      </c>
      <c r="X33" s="7" t="e">
        <f t="shared" si="13"/>
        <v>#N/A</v>
      </c>
      <c r="Y33" s="7" t="e">
        <f t="shared" si="14"/>
        <v>#N/A</v>
      </c>
      <c r="Z33" s="7" t="e">
        <f t="shared" si="15"/>
        <v>#N/A</v>
      </c>
      <c r="AA33" s="7" t="e">
        <f t="shared" si="16"/>
        <v>#N/A</v>
      </c>
      <c r="AB33" s="7" t="e">
        <f t="shared" si="17"/>
        <v>#N/A</v>
      </c>
      <c r="AM33" s="4"/>
      <c r="AN33" s="4"/>
    </row>
    <row r="34" spans="3:40" ht="13.8" thickBot="1">
      <c r="C34" s="43" t="s">
        <v>58</v>
      </c>
      <c r="D34" s="11"/>
      <c r="F34" s="65"/>
      <c r="G34" s="66"/>
      <c r="H34" s="69" t="e">
        <f>VLOOKUP(F34,Sp_score_ref!$A$2:$C$1517,2,FALSE)</f>
        <v>#N/A</v>
      </c>
      <c r="I34" s="70" t="e">
        <f>VLOOKUP(F34,Sp_score_ref!$A$2:$C$1517,3,FALSE)</f>
        <v>#N/A</v>
      </c>
      <c r="J34" s="56"/>
      <c r="K34" s="7" t="e">
        <f t="shared" si="0"/>
        <v>#N/A</v>
      </c>
      <c r="L34" s="7" t="e">
        <f t="shared" si="1"/>
        <v>#N/A</v>
      </c>
      <c r="M34" s="7" t="e">
        <f t="shared" si="2"/>
        <v>#N/A</v>
      </c>
      <c r="N34" s="7" t="e">
        <f t="shared" si="3"/>
        <v>#N/A</v>
      </c>
      <c r="O34" s="7" t="e">
        <f t="shared" si="4"/>
        <v>#N/A</v>
      </c>
      <c r="P34" s="7" t="e">
        <f t="shared" si="5"/>
        <v>#N/A</v>
      </c>
      <c r="Q34" s="7" t="e">
        <f t="shared" si="6"/>
        <v>#N/A</v>
      </c>
      <c r="R34" s="7" t="e">
        <f t="shared" si="7"/>
        <v>#N/A</v>
      </c>
      <c r="S34" s="7" t="e">
        <f t="shared" si="8"/>
        <v>#N/A</v>
      </c>
      <c r="T34" s="7" t="e">
        <f t="shared" si="9"/>
        <v>#N/A</v>
      </c>
      <c r="U34" s="7" t="e">
        <f t="shared" si="10"/>
        <v>#N/A</v>
      </c>
      <c r="V34" s="7" t="e">
        <f t="shared" si="11"/>
        <v>#N/A</v>
      </c>
      <c r="W34" s="7" t="e">
        <f t="shared" si="12"/>
        <v>#N/A</v>
      </c>
      <c r="X34" s="7" t="e">
        <f t="shared" si="13"/>
        <v>#N/A</v>
      </c>
      <c r="Y34" s="7" t="e">
        <f t="shared" si="14"/>
        <v>#N/A</v>
      </c>
      <c r="Z34" s="7" t="e">
        <f t="shared" si="15"/>
        <v>#N/A</v>
      </c>
      <c r="AA34" s="7" t="e">
        <f t="shared" si="16"/>
        <v>#N/A</v>
      </c>
      <c r="AB34" s="7" t="e">
        <f t="shared" si="17"/>
        <v>#N/A</v>
      </c>
      <c r="AM34" s="4"/>
      <c r="AN34" s="4"/>
    </row>
    <row r="35" spans="3:40" ht="13.8" thickBot="1">
      <c r="C35" s="43" t="s">
        <v>59</v>
      </c>
      <c r="D35" s="11"/>
      <c r="F35" s="65"/>
      <c r="G35" s="66"/>
      <c r="H35" s="69" t="e">
        <f>VLOOKUP(F35,Sp_score_ref!$A$2:$C$1517,2,FALSE)</f>
        <v>#N/A</v>
      </c>
      <c r="I35" s="70" t="e">
        <f>VLOOKUP(F35,Sp_score_ref!$A$2:$C$1517,3,FALSE)</f>
        <v>#N/A</v>
      </c>
      <c r="J35" s="56"/>
      <c r="K35" s="7" t="e">
        <f t="shared" si="0"/>
        <v>#N/A</v>
      </c>
      <c r="L35" s="7" t="e">
        <f t="shared" si="1"/>
        <v>#N/A</v>
      </c>
      <c r="M35" s="7" t="e">
        <f t="shared" si="2"/>
        <v>#N/A</v>
      </c>
      <c r="N35" s="7" t="e">
        <f t="shared" si="3"/>
        <v>#N/A</v>
      </c>
      <c r="O35" s="7" t="e">
        <f t="shared" si="4"/>
        <v>#N/A</v>
      </c>
      <c r="P35" s="7" t="e">
        <f t="shared" si="5"/>
        <v>#N/A</v>
      </c>
      <c r="Q35" s="7" t="e">
        <f t="shared" si="6"/>
        <v>#N/A</v>
      </c>
      <c r="R35" s="7" t="e">
        <f t="shared" si="7"/>
        <v>#N/A</v>
      </c>
      <c r="S35" s="7" t="e">
        <f t="shared" si="8"/>
        <v>#N/A</v>
      </c>
      <c r="T35" s="7" t="e">
        <f t="shared" si="9"/>
        <v>#N/A</v>
      </c>
      <c r="U35" s="7" t="e">
        <f t="shared" si="10"/>
        <v>#N/A</v>
      </c>
      <c r="V35" s="7" t="e">
        <f t="shared" si="11"/>
        <v>#N/A</v>
      </c>
      <c r="W35" s="7" t="e">
        <f t="shared" si="12"/>
        <v>#N/A</v>
      </c>
      <c r="X35" s="7" t="e">
        <f t="shared" si="13"/>
        <v>#N/A</v>
      </c>
      <c r="Y35" s="7" t="e">
        <f t="shared" si="14"/>
        <v>#N/A</v>
      </c>
      <c r="Z35" s="7" t="e">
        <f t="shared" si="15"/>
        <v>#N/A</v>
      </c>
      <c r="AA35" s="7" t="e">
        <f t="shared" si="16"/>
        <v>#N/A</v>
      </c>
      <c r="AB35" s="7" t="e">
        <f t="shared" si="17"/>
        <v>#N/A</v>
      </c>
      <c r="AM35" s="4"/>
      <c r="AN35" s="4"/>
    </row>
    <row r="36" spans="3:40" ht="13.8" thickBot="1">
      <c r="C36" s="43" t="s">
        <v>60</v>
      </c>
      <c r="D36" s="11"/>
      <c r="F36" s="65"/>
      <c r="G36" s="66"/>
      <c r="H36" s="69" t="e">
        <f>VLOOKUP(F36,Sp_score_ref!$A$2:$C$1517,2,FALSE)</f>
        <v>#N/A</v>
      </c>
      <c r="I36" s="70" t="e">
        <f>VLOOKUP(F36,Sp_score_ref!$A$2:$C$1517,3,FALSE)</f>
        <v>#N/A</v>
      </c>
      <c r="J36" s="56"/>
      <c r="K36" s="7" t="e">
        <f t="shared" si="0"/>
        <v>#N/A</v>
      </c>
      <c r="L36" s="7" t="e">
        <f t="shared" si="1"/>
        <v>#N/A</v>
      </c>
      <c r="M36" s="7" t="e">
        <f t="shared" si="2"/>
        <v>#N/A</v>
      </c>
      <c r="N36" s="7" t="e">
        <f t="shared" si="3"/>
        <v>#N/A</v>
      </c>
      <c r="O36" s="7" t="e">
        <f t="shared" si="4"/>
        <v>#N/A</v>
      </c>
      <c r="P36" s="7" t="e">
        <f t="shared" si="5"/>
        <v>#N/A</v>
      </c>
      <c r="Q36" s="7" t="e">
        <f t="shared" si="6"/>
        <v>#N/A</v>
      </c>
      <c r="R36" s="7" t="e">
        <f t="shared" si="7"/>
        <v>#N/A</v>
      </c>
      <c r="S36" s="7" t="e">
        <f t="shared" si="8"/>
        <v>#N/A</v>
      </c>
      <c r="T36" s="7" t="e">
        <f t="shared" si="9"/>
        <v>#N/A</v>
      </c>
      <c r="U36" s="7" t="e">
        <f t="shared" si="10"/>
        <v>#N/A</v>
      </c>
      <c r="V36" s="7" t="e">
        <f t="shared" si="11"/>
        <v>#N/A</v>
      </c>
      <c r="W36" s="7" t="e">
        <f t="shared" si="12"/>
        <v>#N/A</v>
      </c>
      <c r="X36" s="7" t="e">
        <f t="shared" si="13"/>
        <v>#N/A</v>
      </c>
      <c r="Y36" s="7" t="e">
        <f t="shared" si="14"/>
        <v>#N/A</v>
      </c>
      <c r="Z36" s="7" t="e">
        <f t="shared" si="15"/>
        <v>#N/A</v>
      </c>
      <c r="AA36" s="7" t="e">
        <f t="shared" si="16"/>
        <v>#N/A</v>
      </c>
      <c r="AB36" s="7" t="e">
        <f t="shared" si="17"/>
        <v>#N/A</v>
      </c>
      <c r="AM36" s="4"/>
      <c r="AN36" s="4"/>
    </row>
    <row r="37" spans="3:40" ht="13.8" thickBot="1">
      <c r="C37" s="43" t="s">
        <v>61</v>
      </c>
      <c r="D37" s="11"/>
      <c r="F37" s="65"/>
      <c r="G37" s="66"/>
      <c r="H37" s="69" t="e">
        <f>VLOOKUP(F37,Sp_score_ref!$A$2:$C$1517,2,FALSE)</f>
        <v>#N/A</v>
      </c>
      <c r="I37" s="70" t="e">
        <f>VLOOKUP(F37,Sp_score_ref!$A$2:$C$1517,3,FALSE)</f>
        <v>#N/A</v>
      </c>
      <c r="J37" s="56"/>
      <c r="K37" s="7" t="e">
        <f t="shared" si="0"/>
        <v>#N/A</v>
      </c>
      <c r="L37" s="7" t="e">
        <f t="shared" si="1"/>
        <v>#N/A</v>
      </c>
      <c r="M37" s="7" t="e">
        <f t="shared" si="2"/>
        <v>#N/A</v>
      </c>
      <c r="N37" s="7" t="e">
        <f t="shared" si="3"/>
        <v>#N/A</v>
      </c>
      <c r="O37" s="7" t="e">
        <f t="shared" si="4"/>
        <v>#N/A</v>
      </c>
      <c r="P37" s="7" t="e">
        <f t="shared" si="5"/>
        <v>#N/A</v>
      </c>
      <c r="Q37" s="7" t="e">
        <f t="shared" si="6"/>
        <v>#N/A</v>
      </c>
      <c r="R37" s="7" t="e">
        <f t="shared" si="7"/>
        <v>#N/A</v>
      </c>
      <c r="S37" s="7" t="e">
        <f t="shared" si="8"/>
        <v>#N/A</v>
      </c>
      <c r="T37" s="7" t="e">
        <f t="shared" si="9"/>
        <v>#N/A</v>
      </c>
      <c r="U37" s="7" t="e">
        <f t="shared" si="10"/>
        <v>#N/A</v>
      </c>
      <c r="V37" s="7" t="e">
        <f t="shared" si="11"/>
        <v>#N/A</v>
      </c>
      <c r="W37" s="7" t="e">
        <f t="shared" si="12"/>
        <v>#N/A</v>
      </c>
      <c r="X37" s="7" t="e">
        <f t="shared" si="13"/>
        <v>#N/A</v>
      </c>
      <c r="Y37" s="7" t="e">
        <f t="shared" si="14"/>
        <v>#N/A</v>
      </c>
      <c r="Z37" s="7" t="e">
        <f t="shared" si="15"/>
        <v>#N/A</v>
      </c>
      <c r="AA37" s="7" t="e">
        <f t="shared" si="16"/>
        <v>#N/A</v>
      </c>
      <c r="AB37" s="7" t="e">
        <f t="shared" si="17"/>
        <v>#N/A</v>
      </c>
      <c r="AM37" s="4"/>
      <c r="AN37" s="4"/>
    </row>
    <row r="38" spans="3:40" ht="13.8" thickBot="1">
      <c r="C38" s="43" t="s">
        <v>62</v>
      </c>
      <c r="D38" s="11"/>
      <c r="F38" s="65"/>
      <c r="G38" s="66"/>
      <c r="H38" s="69" t="e">
        <f>VLOOKUP(F38,Sp_score_ref!$A$2:$C$1517,2,FALSE)</f>
        <v>#N/A</v>
      </c>
      <c r="I38" s="70" t="e">
        <f>VLOOKUP(F38,Sp_score_ref!$A$2:$C$1517,3,FALSE)</f>
        <v>#N/A</v>
      </c>
      <c r="J38" s="56"/>
      <c r="K38" s="7" t="e">
        <f t="shared" si="0"/>
        <v>#N/A</v>
      </c>
      <c r="L38" s="7" t="e">
        <f t="shared" si="1"/>
        <v>#N/A</v>
      </c>
      <c r="M38" s="7" t="e">
        <f t="shared" si="2"/>
        <v>#N/A</v>
      </c>
      <c r="N38" s="7" t="e">
        <f t="shared" si="3"/>
        <v>#N/A</v>
      </c>
      <c r="O38" s="7" t="e">
        <f t="shared" si="4"/>
        <v>#N/A</v>
      </c>
      <c r="P38" s="7" t="e">
        <f t="shared" si="5"/>
        <v>#N/A</v>
      </c>
      <c r="Q38" s="7" t="e">
        <f t="shared" si="6"/>
        <v>#N/A</v>
      </c>
      <c r="R38" s="7" t="e">
        <f t="shared" si="7"/>
        <v>#N/A</v>
      </c>
      <c r="S38" s="7" t="e">
        <f t="shared" si="8"/>
        <v>#N/A</v>
      </c>
      <c r="T38" s="7" t="e">
        <f t="shared" si="9"/>
        <v>#N/A</v>
      </c>
      <c r="U38" s="7" t="e">
        <f t="shared" si="10"/>
        <v>#N/A</v>
      </c>
      <c r="V38" s="7" t="e">
        <f t="shared" si="11"/>
        <v>#N/A</v>
      </c>
      <c r="W38" s="7" t="e">
        <f t="shared" si="12"/>
        <v>#N/A</v>
      </c>
      <c r="X38" s="7" t="e">
        <f t="shared" si="13"/>
        <v>#N/A</v>
      </c>
      <c r="Y38" s="7" t="e">
        <f t="shared" si="14"/>
        <v>#N/A</v>
      </c>
      <c r="Z38" s="7" t="e">
        <f t="shared" si="15"/>
        <v>#N/A</v>
      </c>
      <c r="AA38" s="7" t="e">
        <f t="shared" si="16"/>
        <v>#N/A</v>
      </c>
      <c r="AB38" s="7" t="e">
        <f t="shared" si="17"/>
        <v>#N/A</v>
      </c>
      <c r="AM38" s="4"/>
      <c r="AN38" s="4"/>
    </row>
    <row r="39" spans="3:40" ht="13.35" customHeight="1" thickBot="1">
      <c r="C39" s="43" t="s">
        <v>63</v>
      </c>
      <c r="D39" s="11"/>
      <c r="F39" s="65"/>
      <c r="G39" s="66"/>
      <c r="H39" s="69" t="e">
        <f>VLOOKUP(F39,Sp_score_ref!$A$2:$C$1517,2,FALSE)</f>
        <v>#N/A</v>
      </c>
      <c r="I39" s="70" t="e">
        <f>VLOOKUP(F39,Sp_score_ref!$A$2:$C$1517,3,FALSE)</f>
        <v>#N/A</v>
      </c>
      <c r="J39" s="56"/>
      <c r="K39" s="7" t="e">
        <f t="shared" si="0"/>
        <v>#N/A</v>
      </c>
      <c r="L39" s="7" t="e">
        <f t="shared" si="1"/>
        <v>#N/A</v>
      </c>
      <c r="M39" s="7" t="e">
        <f t="shared" si="2"/>
        <v>#N/A</v>
      </c>
      <c r="N39" s="7" t="e">
        <f t="shared" si="3"/>
        <v>#N/A</v>
      </c>
      <c r="O39" s="7" t="e">
        <f t="shared" si="4"/>
        <v>#N/A</v>
      </c>
      <c r="P39" s="7" t="e">
        <f t="shared" si="5"/>
        <v>#N/A</v>
      </c>
      <c r="Q39" s="7" t="e">
        <f t="shared" si="6"/>
        <v>#N/A</v>
      </c>
      <c r="R39" s="7" t="e">
        <f t="shared" si="7"/>
        <v>#N/A</v>
      </c>
      <c r="S39" s="7" t="e">
        <f t="shared" si="8"/>
        <v>#N/A</v>
      </c>
      <c r="T39" s="7" t="e">
        <f t="shared" si="9"/>
        <v>#N/A</v>
      </c>
      <c r="U39" s="7" t="e">
        <f t="shared" si="10"/>
        <v>#N/A</v>
      </c>
      <c r="V39" s="7" t="e">
        <f t="shared" si="11"/>
        <v>#N/A</v>
      </c>
      <c r="W39" s="7" t="e">
        <f t="shared" si="12"/>
        <v>#N/A</v>
      </c>
      <c r="X39" s="7" t="e">
        <f t="shared" si="13"/>
        <v>#N/A</v>
      </c>
      <c r="Y39" s="7" t="e">
        <f t="shared" si="14"/>
        <v>#N/A</v>
      </c>
      <c r="Z39" s="7" t="e">
        <f t="shared" si="15"/>
        <v>#N/A</v>
      </c>
      <c r="AA39" s="7" t="e">
        <f t="shared" si="16"/>
        <v>#N/A</v>
      </c>
      <c r="AB39" s="7" t="e">
        <f t="shared" si="17"/>
        <v>#N/A</v>
      </c>
      <c r="AM39" s="4"/>
      <c r="AN39" s="4"/>
    </row>
    <row r="40" spans="3:40" ht="13.8" thickBot="1">
      <c r="C40" s="43" t="s">
        <v>64</v>
      </c>
      <c r="D40" s="11"/>
      <c r="F40" s="65"/>
      <c r="G40" s="66"/>
      <c r="H40" s="69" t="e">
        <f>VLOOKUP(F40,Sp_score_ref!$A$2:$C$1517,2,FALSE)</f>
        <v>#N/A</v>
      </c>
      <c r="I40" s="70" t="e">
        <f>VLOOKUP(F40,Sp_score_ref!$A$2:$C$1517,3,FALSE)</f>
        <v>#N/A</v>
      </c>
      <c r="J40" s="56"/>
      <c r="K40" s="7" t="e">
        <f t="shared" si="0"/>
        <v>#N/A</v>
      </c>
      <c r="L40" s="7" t="e">
        <f t="shared" si="1"/>
        <v>#N/A</v>
      </c>
      <c r="M40" s="7" t="e">
        <f t="shared" si="2"/>
        <v>#N/A</v>
      </c>
      <c r="N40" s="7" t="e">
        <f t="shared" si="3"/>
        <v>#N/A</v>
      </c>
      <c r="O40" s="7" t="e">
        <f t="shared" si="4"/>
        <v>#N/A</v>
      </c>
      <c r="P40" s="7" t="e">
        <f t="shared" si="5"/>
        <v>#N/A</v>
      </c>
      <c r="Q40" s="7" t="e">
        <f t="shared" si="6"/>
        <v>#N/A</v>
      </c>
      <c r="R40" s="7" t="e">
        <f t="shared" si="7"/>
        <v>#N/A</v>
      </c>
      <c r="S40" s="7" t="e">
        <f t="shared" si="8"/>
        <v>#N/A</v>
      </c>
      <c r="T40" s="7" t="e">
        <f t="shared" si="9"/>
        <v>#N/A</v>
      </c>
      <c r="U40" s="7" t="e">
        <f t="shared" si="10"/>
        <v>#N/A</v>
      </c>
      <c r="V40" s="7" t="e">
        <f t="shared" si="11"/>
        <v>#N/A</v>
      </c>
      <c r="W40" s="7" t="e">
        <f t="shared" si="12"/>
        <v>#N/A</v>
      </c>
      <c r="X40" s="7" t="e">
        <f t="shared" si="13"/>
        <v>#N/A</v>
      </c>
      <c r="Y40" s="7" t="e">
        <f t="shared" si="14"/>
        <v>#N/A</v>
      </c>
      <c r="Z40" s="7" t="e">
        <f t="shared" si="15"/>
        <v>#N/A</v>
      </c>
      <c r="AA40" s="7" t="e">
        <f t="shared" si="16"/>
        <v>#N/A</v>
      </c>
      <c r="AB40" s="7" t="e">
        <f t="shared" si="17"/>
        <v>#N/A</v>
      </c>
      <c r="AM40" s="4"/>
      <c r="AN40" s="4"/>
    </row>
    <row r="41" spans="3:40" ht="13.35" customHeight="1">
      <c r="C41" s="127" t="s">
        <v>65</v>
      </c>
      <c r="D41" s="128"/>
      <c r="F41" s="65"/>
      <c r="G41" s="66"/>
      <c r="H41" s="69" t="e">
        <f>VLOOKUP(F41,Sp_score_ref!$A$2:$C$1517,2,FALSE)</f>
        <v>#N/A</v>
      </c>
      <c r="I41" s="70" t="e">
        <f>VLOOKUP(F41,Sp_score_ref!$A$2:$C$1517,3,FALSE)</f>
        <v>#N/A</v>
      </c>
      <c r="J41" s="56"/>
      <c r="K41" s="7" t="e">
        <f t="shared" si="0"/>
        <v>#N/A</v>
      </c>
      <c r="L41" s="7" t="e">
        <f t="shared" si="1"/>
        <v>#N/A</v>
      </c>
      <c r="M41" s="7" t="e">
        <f t="shared" si="2"/>
        <v>#N/A</v>
      </c>
      <c r="N41" s="7" t="e">
        <f t="shared" si="3"/>
        <v>#N/A</v>
      </c>
      <c r="O41" s="7" t="e">
        <f t="shared" si="4"/>
        <v>#N/A</v>
      </c>
      <c r="P41" s="7" t="e">
        <f t="shared" si="5"/>
        <v>#N/A</v>
      </c>
      <c r="Q41" s="7" t="e">
        <f t="shared" si="6"/>
        <v>#N/A</v>
      </c>
      <c r="R41" s="7" t="e">
        <f t="shared" si="7"/>
        <v>#N/A</v>
      </c>
      <c r="S41" s="7" t="e">
        <f t="shared" si="8"/>
        <v>#N/A</v>
      </c>
      <c r="T41" s="7" t="e">
        <f t="shared" si="9"/>
        <v>#N/A</v>
      </c>
      <c r="U41" s="7" t="e">
        <f t="shared" si="10"/>
        <v>#N/A</v>
      </c>
      <c r="V41" s="7" t="e">
        <f t="shared" si="11"/>
        <v>#N/A</v>
      </c>
      <c r="W41" s="7" t="e">
        <f t="shared" si="12"/>
        <v>#N/A</v>
      </c>
      <c r="X41" s="7" t="e">
        <f t="shared" si="13"/>
        <v>#N/A</v>
      </c>
      <c r="Y41" s="7" t="e">
        <f t="shared" si="14"/>
        <v>#N/A</v>
      </c>
      <c r="Z41" s="7" t="e">
        <f t="shared" si="15"/>
        <v>#N/A</v>
      </c>
      <c r="AA41" s="7" t="e">
        <f t="shared" si="16"/>
        <v>#N/A</v>
      </c>
      <c r="AB41" s="7" t="e">
        <f t="shared" si="17"/>
        <v>#N/A</v>
      </c>
      <c r="AM41" s="4"/>
      <c r="AN41" s="4"/>
    </row>
    <row r="42" spans="3:40" ht="13.8" thickBot="1">
      <c r="C42" s="129"/>
      <c r="D42" s="130"/>
      <c r="F42" s="65"/>
      <c r="G42" s="66"/>
      <c r="H42" s="69" t="e">
        <f>VLOOKUP(F42,Sp_score_ref!$A$2:$C$1517,2,FALSE)</f>
        <v>#N/A</v>
      </c>
      <c r="I42" s="70" t="e">
        <f>VLOOKUP(F42,Sp_score_ref!$A$2:$C$1517,3,FALSE)</f>
        <v>#N/A</v>
      </c>
      <c r="J42" s="56"/>
      <c r="K42" s="7" t="e">
        <f t="shared" si="0"/>
        <v>#N/A</v>
      </c>
      <c r="L42" s="7" t="e">
        <f t="shared" si="1"/>
        <v>#N/A</v>
      </c>
      <c r="M42" s="7" t="e">
        <f t="shared" si="2"/>
        <v>#N/A</v>
      </c>
      <c r="N42" s="7" t="e">
        <f t="shared" si="3"/>
        <v>#N/A</v>
      </c>
      <c r="O42" s="7" t="e">
        <f t="shared" si="4"/>
        <v>#N/A</v>
      </c>
      <c r="P42" s="7" t="e">
        <f t="shared" si="5"/>
        <v>#N/A</v>
      </c>
      <c r="Q42" s="7" t="e">
        <f t="shared" si="6"/>
        <v>#N/A</v>
      </c>
      <c r="R42" s="7" t="e">
        <f t="shared" si="7"/>
        <v>#N/A</v>
      </c>
      <c r="S42" s="7" t="e">
        <f t="shared" si="8"/>
        <v>#N/A</v>
      </c>
      <c r="T42" s="7" t="e">
        <f t="shared" si="9"/>
        <v>#N/A</v>
      </c>
      <c r="U42" s="7" t="e">
        <f t="shared" si="10"/>
        <v>#N/A</v>
      </c>
      <c r="V42" s="7" t="e">
        <f t="shared" si="11"/>
        <v>#N/A</v>
      </c>
      <c r="W42" s="7" t="e">
        <f t="shared" si="12"/>
        <v>#N/A</v>
      </c>
      <c r="X42" s="7" t="e">
        <f t="shared" si="13"/>
        <v>#N/A</v>
      </c>
      <c r="Y42" s="7" t="e">
        <f t="shared" si="14"/>
        <v>#N/A</v>
      </c>
      <c r="Z42" s="7" t="e">
        <f t="shared" si="15"/>
        <v>#N/A</v>
      </c>
      <c r="AA42" s="7" t="e">
        <f t="shared" si="16"/>
        <v>#N/A</v>
      </c>
      <c r="AB42" s="7" t="e">
        <f t="shared" si="17"/>
        <v>#N/A</v>
      </c>
      <c r="AM42" s="4"/>
      <c r="AN42" s="4"/>
    </row>
    <row r="43" spans="3:40" ht="13.35" customHeight="1">
      <c r="C43" s="127" t="s">
        <v>66</v>
      </c>
      <c r="D43" s="128"/>
      <c r="F43" s="65"/>
      <c r="G43" s="66"/>
      <c r="H43" s="69" t="e">
        <f>VLOOKUP(F43,Sp_score_ref!$A$2:$C$1517,2,FALSE)</f>
        <v>#N/A</v>
      </c>
      <c r="I43" s="70" t="e">
        <f>VLOOKUP(F43,Sp_score_ref!$A$2:$C$1517,3,FALSE)</f>
        <v>#N/A</v>
      </c>
      <c r="J43" s="56"/>
      <c r="K43" s="7" t="e">
        <f t="shared" si="0"/>
        <v>#N/A</v>
      </c>
      <c r="L43" s="7" t="e">
        <f t="shared" si="1"/>
        <v>#N/A</v>
      </c>
      <c r="M43" s="7" t="e">
        <f t="shared" si="2"/>
        <v>#N/A</v>
      </c>
      <c r="N43" s="7" t="e">
        <f t="shared" si="3"/>
        <v>#N/A</v>
      </c>
      <c r="O43" s="7" t="e">
        <f t="shared" si="4"/>
        <v>#N/A</v>
      </c>
      <c r="P43" s="7" t="e">
        <f t="shared" si="5"/>
        <v>#N/A</v>
      </c>
      <c r="Q43" s="7" t="e">
        <f t="shared" si="6"/>
        <v>#N/A</v>
      </c>
      <c r="R43" s="7" t="e">
        <f t="shared" si="7"/>
        <v>#N/A</v>
      </c>
      <c r="S43" s="7" t="e">
        <f t="shared" si="8"/>
        <v>#N/A</v>
      </c>
      <c r="T43" s="7" t="e">
        <f t="shared" si="9"/>
        <v>#N/A</v>
      </c>
      <c r="U43" s="7" t="e">
        <f t="shared" si="10"/>
        <v>#N/A</v>
      </c>
      <c r="V43" s="7" t="e">
        <f t="shared" si="11"/>
        <v>#N/A</v>
      </c>
      <c r="W43" s="7" t="e">
        <f t="shared" si="12"/>
        <v>#N/A</v>
      </c>
      <c r="X43" s="7" t="e">
        <f t="shared" si="13"/>
        <v>#N/A</v>
      </c>
      <c r="Y43" s="7" t="e">
        <f t="shared" si="14"/>
        <v>#N/A</v>
      </c>
      <c r="Z43" s="7" t="e">
        <f t="shared" si="15"/>
        <v>#N/A</v>
      </c>
      <c r="AA43" s="7" t="e">
        <f t="shared" si="16"/>
        <v>#N/A</v>
      </c>
      <c r="AB43" s="7" t="e">
        <f t="shared" si="17"/>
        <v>#N/A</v>
      </c>
      <c r="AM43" s="4"/>
      <c r="AN43" s="4"/>
    </row>
    <row r="44" spans="3:40" ht="13.8" thickBot="1">
      <c r="C44" s="129"/>
      <c r="D44" s="130"/>
      <c r="F44" s="65"/>
      <c r="G44" s="66"/>
      <c r="H44" s="69" t="e">
        <f>VLOOKUP(F44,Sp_score_ref!$A$2:$C$1517,2,FALSE)</f>
        <v>#N/A</v>
      </c>
      <c r="I44" s="70" t="e">
        <f>VLOOKUP(F44,Sp_score_ref!$A$2:$C$1517,3,FALSE)</f>
        <v>#N/A</v>
      </c>
      <c r="J44" s="56"/>
      <c r="K44" s="7" t="e">
        <f t="shared" si="0"/>
        <v>#N/A</v>
      </c>
      <c r="L44" s="7" t="e">
        <f t="shared" si="1"/>
        <v>#N/A</v>
      </c>
      <c r="M44" s="7" t="e">
        <f t="shared" si="2"/>
        <v>#N/A</v>
      </c>
      <c r="N44" s="7" t="e">
        <f t="shared" si="3"/>
        <v>#N/A</v>
      </c>
      <c r="O44" s="7" t="e">
        <f t="shared" si="4"/>
        <v>#N/A</v>
      </c>
      <c r="P44" s="7" t="e">
        <f t="shared" si="5"/>
        <v>#N/A</v>
      </c>
      <c r="Q44" s="7" t="e">
        <f t="shared" si="6"/>
        <v>#N/A</v>
      </c>
      <c r="R44" s="7" t="e">
        <f t="shared" si="7"/>
        <v>#N/A</v>
      </c>
      <c r="S44" s="7" t="e">
        <f t="shared" si="8"/>
        <v>#N/A</v>
      </c>
      <c r="T44" s="7" t="e">
        <f t="shared" si="9"/>
        <v>#N/A</v>
      </c>
      <c r="U44" s="7" t="e">
        <f t="shared" si="10"/>
        <v>#N/A</v>
      </c>
      <c r="V44" s="7" t="e">
        <f t="shared" si="11"/>
        <v>#N/A</v>
      </c>
      <c r="W44" s="7" t="e">
        <f t="shared" si="12"/>
        <v>#N/A</v>
      </c>
      <c r="X44" s="7" t="e">
        <f t="shared" si="13"/>
        <v>#N/A</v>
      </c>
      <c r="Y44" s="7" t="e">
        <f t="shared" si="14"/>
        <v>#N/A</v>
      </c>
      <c r="Z44" s="7" t="e">
        <f t="shared" si="15"/>
        <v>#N/A</v>
      </c>
      <c r="AA44" s="7" t="e">
        <f t="shared" si="16"/>
        <v>#N/A</v>
      </c>
      <c r="AB44" s="7" t="e">
        <f t="shared" si="17"/>
        <v>#N/A</v>
      </c>
      <c r="AM44" s="4"/>
      <c r="AN44" s="4"/>
    </row>
    <row r="45" spans="3:40" ht="13.8" thickBot="1">
      <c r="F45" s="65"/>
      <c r="G45" s="66"/>
      <c r="H45" s="69" t="e">
        <f>VLOOKUP(F45,Sp_score_ref!$A$2:$C$1517,2,FALSE)</f>
        <v>#N/A</v>
      </c>
      <c r="I45" s="70" t="e">
        <f>VLOOKUP(F45,Sp_score_ref!$A$2:$C$1517,3,FALSE)</f>
        <v>#N/A</v>
      </c>
      <c r="J45" s="56"/>
      <c r="K45" s="7" t="e">
        <f t="shared" si="0"/>
        <v>#N/A</v>
      </c>
      <c r="L45" s="7" t="e">
        <f t="shared" si="1"/>
        <v>#N/A</v>
      </c>
      <c r="M45" s="7" t="e">
        <f t="shared" si="2"/>
        <v>#N/A</v>
      </c>
      <c r="N45" s="7" t="e">
        <f t="shared" si="3"/>
        <v>#N/A</v>
      </c>
      <c r="O45" s="7" t="e">
        <f t="shared" si="4"/>
        <v>#N/A</v>
      </c>
      <c r="P45" s="7" t="e">
        <f t="shared" si="5"/>
        <v>#N/A</v>
      </c>
      <c r="Q45" s="7" t="e">
        <f t="shared" si="6"/>
        <v>#N/A</v>
      </c>
      <c r="R45" s="7" t="e">
        <f t="shared" si="7"/>
        <v>#N/A</v>
      </c>
      <c r="S45" s="7" t="e">
        <f t="shared" si="8"/>
        <v>#N/A</v>
      </c>
      <c r="T45" s="7" t="e">
        <f t="shared" si="9"/>
        <v>#N/A</v>
      </c>
      <c r="U45" s="7" t="e">
        <f t="shared" si="10"/>
        <v>#N/A</v>
      </c>
      <c r="V45" s="7" t="e">
        <f t="shared" si="11"/>
        <v>#N/A</v>
      </c>
      <c r="W45" s="7" t="e">
        <f t="shared" si="12"/>
        <v>#N/A</v>
      </c>
      <c r="X45" s="7" t="e">
        <f t="shared" si="13"/>
        <v>#N/A</v>
      </c>
      <c r="Y45" s="7" t="e">
        <f t="shared" si="14"/>
        <v>#N/A</v>
      </c>
      <c r="Z45" s="7" t="e">
        <f t="shared" si="15"/>
        <v>#N/A</v>
      </c>
      <c r="AA45" s="7" t="e">
        <f t="shared" si="16"/>
        <v>#N/A</v>
      </c>
      <c r="AB45" s="7" t="e">
        <f t="shared" si="17"/>
        <v>#N/A</v>
      </c>
      <c r="AM45" s="4"/>
      <c r="AN45" s="4"/>
    </row>
    <row r="46" spans="3:40">
      <c r="C46" s="127" t="s">
        <v>67</v>
      </c>
      <c r="D46" s="128"/>
      <c r="F46" s="65"/>
      <c r="G46" s="66"/>
      <c r="H46" s="69" t="e">
        <f>VLOOKUP(F46,Sp_score_ref!$A$2:$C$1517,2,FALSE)</f>
        <v>#N/A</v>
      </c>
      <c r="I46" s="70" t="e">
        <f>VLOOKUP(F46,Sp_score_ref!$A$2:$C$1517,3,FALSE)</f>
        <v>#N/A</v>
      </c>
      <c r="J46" s="56"/>
      <c r="K46" s="7" t="e">
        <f t="shared" si="0"/>
        <v>#N/A</v>
      </c>
      <c r="L46" s="7" t="e">
        <f t="shared" si="1"/>
        <v>#N/A</v>
      </c>
      <c r="M46" s="7" t="e">
        <f t="shared" si="2"/>
        <v>#N/A</v>
      </c>
      <c r="N46" s="7" t="e">
        <f t="shared" si="3"/>
        <v>#N/A</v>
      </c>
      <c r="O46" s="7" t="e">
        <f t="shared" si="4"/>
        <v>#N/A</v>
      </c>
      <c r="P46" s="7" t="e">
        <f t="shared" si="5"/>
        <v>#N/A</v>
      </c>
      <c r="Q46" s="7" t="e">
        <f t="shared" si="6"/>
        <v>#N/A</v>
      </c>
      <c r="R46" s="7" t="e">
        <f t="shared" si="7"/>
        <v>#N/A</v>
      </c>
      <c r="S46" s="7" t="e">
        <f t="shared" si="8"/>
        <v>#N/A</v>
      </c>
      <c r="T46" s="7" t="e">
        <f t="shared" si="9"/>
        <v>#N/A</v>
      </c>
      <c r="U46" s="7" t="e">
        <f t="shared" si="10"/>
        <v>#N/A</v>
      </c>
      <c r="V46" s="7" t="e">
        <f t="shared" si="11"/>
        <v>#N/A</v>
      </c>
      <c r="W46" s="7" t="e">
        <f t="shared" si="12"/>
        <v>#N/A</v>
      </c>
      <c r="X46" s="7" t="e">
        <f t="shared" si="13"/>
        <v>#N/A</v>
      </c>
      <c r="Y46" s="7" t="e">
        <f t="shared" si="14"/>
        <v>#N/A</v>
      </c>
      <c r="Z46" s="7" t="e">
        <f t="shared" si="15"/>
        <v>#N/A</v>
      </c>
      <c r="AA46" s="7" t="e">
        <f t="shared" si="16"/>
        <v>#N/A</v>
      </c>
      <c r="AB46" s="7" t="e">
        <f t="shared" si="17"/>
        <v>#N/A</v>
      </c>
      <c r="AM46" s="4"/>
      <c r="AN46" s="4"/>
    </row>
    <row r="47" spans="3:40" ht="13.8" thickBot="1">
      <c r="C47" s="129"/>
      <c r="D47" s="130"/>
      <c r="F47" s="65"/>
      <c r="G47" s="66"/>
      <c r="H47" s="69" t="e">
        <f>VLOOKUP(F47,Sp_score_ref!$A$2:$C$1517,2,FALSE)</f>
        <v>#N/A</v>
      </c>
      <c r="I47" s="70" t="e">
        <f>VLOOKUP(F47,Sp_score_ref!$A$2:$C$1517,3,FALSE)</f>
        <v>#N/A</v>
      </c>
      <c r="J47" s="56"/>
      <c r="K47" s="7" t="e">
        <f t="shared" si="0"/>
        <v>#N/A</v>
      </c>
      <c r="L47" s="7" t="e">
        <f t="shared" si="1"/>
        <v>#N/A</v>
      </c>
      <c r="M47" s="7" t="e">
        <f t="shared" si="2"/>
        <v>#N/A</v>
      </c>
      <c r="N47" s="7" t="e">
        <f t="shared" si="3"/>
        <v>#N/A</v>
      </c>
      <c r="O47" s="7" t="e">
        <f t="shared" si="4"/>
        <v>#N/A</v>
      </c>
      <c r="P47" s="7" t="e">
        <f t="shared" si="5"/>
        <v>#N/A</v>
      </c>
      <c r="Q47" s="7" t="e">
        <f t="shared" si="6"/>
        <v>#N/A</v>
      </c>
      <c r="R47" s="7" t="e">
        <f t="shared" si="7"/>
        <v>#N/A</v>
      </c>
      <c r="S47" s="7" t="e">
        <f t="shared" si="8"/>
        <v>#N/A</v>
      </c>
      <c r="T47" s="7" t="e">
        <f t="shared" si="9"/>
        <v>#N/A</v>
      </c>
      <c r="U47" s="7" t="e">
        <f t="shared" si="10"/>
        <v>#N/A</v>
      </c>
      <c r="V47" s="7" t="e">
        <f t="shared" si="11"/>
        <v>#N/A</v>
      </c>
      <c r="W47" s="7" t="e">
        <f t="shared" si="12"/>
        <v>#N/A</v>
      </c>
      <c r="X47" s="7" t="e">
        <f t="shared" si="13"/>
        <v>#N/A</v>
      </c>
      <c r="Y47" s="7" t="e">
        <f t="shared" si="14"/>
        <v>#N/A</v>
      </c>
      <c r="Z47" s="7" t="e">
        <f t="shared" si="15"/>
        <v>#N/A</v>
      </c>
      <c r="AA47" s="7" t="e">
        <f t="shared" si="16"/>
        <v>#N/A</v>
      </c>
      <c r="AB47" s="7" t="e">
        <f t="shared" si="17"/>
        <v>#N/A</v>
      </c>
      <c r="AM47" s="4"/>
      <c r="AN47" s="4"/>
    </row>
    <row r="48" spans="3:40">
      <c r="F48" s="65"/>
      <c r="G48" s="66"/>
      <c r="H48" s="69" t="e">
        <f>VLOOKUP(F48,Sp_score_ref!$A$2:$C$1517,2,FALSE)</f>
        <v>#N/A</v>
      </c>
      <c r="I48" s="70" t="e">
        <f>VLOOKUP(F48,Sp_score_ref!$A$2:$C$1517,3,FALSE)</f>
        <v>#N/A</v>
      </c>
      <c r="J48" s="56"/>
      <c r="K48" s="7" t="e">
        <f t="shared" si="0"/>
        <v>#N/A</v>
      </c>
      <c r="L48" s="7" t="e">
        <f t="shared" si="1"/>
        <v>#N/A</v>
      </c>
      <c r="M48" s="7" t="e">
        <f t="shared" si="2"/>
        <v>#N/A</v>
      </c>
      <c r="N48" s="7" t="e">
        <f t="shared" si="3"/>
        <v>#N/A</v>
      </c>
      <c r="O48" s="7" t="e">
        <f t="shared" si="4"/>
        <v>#N/A</v>
      </c>
      <c r="P48" s="7" t="e">
        <f t="shared" si="5"/>
        <v>#N/A</v>
      </c>
      <c r="Q48" s="7" t="e">
        <f t="shared" si="6"/>
        <v>#N/A</v>
      </c>
      <c r="R48" s="7" t="e">
        <f t="shared" si="7"/>
        <v>#N/A</v>
      </c>
      <c r="S48" s="7" t="e">
        <f t="shared" si="8"/>
        <v>#N/A</v>
      </c>
      <c r="T48" s="7" t="e">
        <f t="shared" si="9"/>
        <v>#N/A</v>
      </c>
      <c r="U48" s="7" t="e">
        <f t="shared" si="10"/>
        <v>#N/A</v>
      </c>
      <c r="V48" s="7" t="e">
        <f t="shared" si="11"/>
        <v>#N/A</v>
      </c>
      <c r="W48" s="7" t="e">
        <f t="shared" si="12"/>
        <v>#N/A</v>
      </c>
      <c r="X48" s="7" t="e">
        <f t="shared" si="13"/>
        <v>#N/A</v>
      </c>
      <c r="Y48" s="7" t="e">
        <f t="shared" si="14"/>
        <v>#N/A</v>
      </c>
      <c r="Z48" s="7" t="e">
        <f t="shared" si="15"/>
        <v>#N/A</v>
      </c>
      <c r="AA48" s="7" t="e">
        <f t="shared" si="16"/>
        <v>#N/A</v>
      </c>
      <c r="AB48" s="7" t="e">
        <f t="shared" si="17"/>
        <v>#N/A</v>
      </c>
      <c r="AM48" s="4"/>
      <c r="AN48" s="4"/>
    </row>
    <row r="49" spans="5:40">
      <c r="F49" s="65"/>
      <c r="G49" s="66"/>
      <c r="H49" s="69" t="e">
        <f>VLOOKUP(F49,Sp_score_ref!$A$2:$C$1517,2,FALSE)</f>
        <v>#N/A</v>
      </c>
      <c r="I49" s="70" t="e">
        <f>VLOOKUP(F49,Sp_score_ref!$A$2:$C$1517,3,FALSE)</f>
        <v>#N/A</v>
      </c>
      <c r="J49" s="56"/>
      <c r="K49" s="7" t="e">
        <f t="shared" si="0"/>
        <v>#N/A</v>
      </c>
      <c r="L49" s="7" t="e">
        <f t="shared" si="1"/>
        <v>#N/A</v>
      </c>
      <c r="M49" s="7" t="e">
        <f t="shared" si="2"/>
        <v>#N/A</v>
      </c>
      <c r="N49" s="7" t="e">
        <f t="shared" si="3"/>
        <v>#N/A</v>
      </c>
      <c r="O49" s="7" t="e">
        <f t="shared" si="4"/>
        <v>#N/A</v>
      </c>
      <c r="P49" s="7" t="e">
        <f t="shared" si="5"/>
        <v>#N/A</v>
      </c>
      <c r="Q49" s="7" t="e">
        <f t="shared" si="6"/>
        <v>#N/A</v>
      </c>
      <c r="R49" s="7" t="e">
        <f t="shared" si="7"/>
        <v>#N/A</v>
      </c>
      <c r="S49" s="7" t="e">
        <f t="shared" si="8"/>
        <v>#N/A</v>
      </c>
      <c r="T49" s="7" t="e">
        <f t="shared" si="9"/>
        <v>#N/A</v>
      </c>
      <c r="U49" s="7" t="e">
        <f t="shared" si="10"/>
        <v>#N/A</v>
      </c>
      <c r="V49" s="7" t="e">
        <f t="shared" si="11"/>
        <v>#N/A</v>
      </c>
      <c r="W49" s="7" t="e">
        <f t="shared" si="12"/>
        <v>#N/A</v>
      </c>
      <c r="X49" s="7" t="e">
        <f t="shared" si="13"/>
        <v>#N/A</v>
      </c>
      <c r="Y49" s="7" t="e">
        <f t="shared" si="14"/>
        <v>#N/A</v>
      </c>
      <c r="Z49" s="7" t="e">
        <f t="shared" si="15"/>
        <v>#N/A</v>
      </c>
      <c r="AA49" s="7" t="e">
        <f t="shared" si="16"/>
        <v>#N/A</v>
      </c>
      <c r="AB49" s="7" t="e">
        <f t="shared" si="17"/>
        <v>#N/A</v>
      </c>
      <c r="AM49" s="4"/>
      <c r="AN49" s="4"/>
    </row>
    <row r="50" spans="5:40">
      <c r="F50" s="65"/>
      <c r="G50" s="66"/>
      <c r="H50" s="69" t="e">
        <f>VLOOKUP(F50,Sp_score_ref!$A$2:$C$1517,2,FALSE)</f>
        <v>#N/A</v>
      </c>
      <c r="I50" s="70" t="e">
        <f>VLOOKUP(F50,Sp_score_ref!$A$2:$C$1517,3,FALSE)</f>
        <v>#N/A</v>
      </c>
      <c r="J50" s="56"/>
      <c r="K50" s="7" t="e">
        <f t="shared" si="0"/>
        <v>#N/A</v>
      </c>
      <c r="L50" s="7" t="e">
        <f t="shared" si="1"/>
        <v>#N/A</v>
      </c>
      <c r="M50" s="7" t="e">
        <f t="shared" si="2"/>
        <v>#N/A</v>
      </c>
      <c r="N50" s="7" t="e">
        <f t="shared" si="3"/>
        <v>#N/A</v>
      </c>
      <c r="O50" s="7" t="e">
        <f t="shared" si="4"/>
        <v>#N/A</v>
      </c>
      <c r="P50" s="7" t="e">
        <f t="shared" si="5"/>
        <v>#N/A</v>
      </c>
      <c r="Q50" s="7" t="e">
        <f t="shared" si="6"/>
        <v>#N/A</v>
      </c>
      <c r="R50" s="7" t="e">
        <f t="shared" si="7"/>
        <v>#N/A</v>
      </c>
      <c r="S50" s="7" t="e">
        <f t="shared" si="8"/>
        <v>#N/A</v>
      </c>
      <c r="T50" s="7" t="e">
        <f t="shared" si="9"/>
        <v>#N/A</v>
      </c>
      <c r="U50" s="7" t="e">
        <f t="shared" si="10"/>
        <v>#N/A</v>
      </c>
      <c r="V50" s="7" t="e">
        <f t="shared" si="11"/>
        <v>#N/A</v>
      </c>
      <c r="W50" s="7" t="e">
        <f t="shared" si="12"/>
        <v>#N/A</v>
      </c>
      <c r="X50" s="7" t="e">
        <f t="shared" si="13"/>
        <v>#N/A</v>
      </c>
      <c r="Y50" s="7" t="e">
        <f t="shared" si="14"/>
        <v>#N/A</v>
      </c>
      <c r="Z50" s="7" t="e">
        <f t="shared" si="15"/>
        <v>#N/A</v>
      </c>
      <c r="AA50" s="7" t="e">
        <f t="shared" si="16"/>
        <v>#N/A</v>
      </c>
      <c r="AB50" s="7" t="e">
        <f t="shared" si="17"/>
        <v>#N/A</v>
      </c>
      <c r="AM50" s="4"/>
      <c r="AN50" s="4"/>
    </row>
    <row r="51" spans="5:40">
      <c r="F51" s="65"/>
      <c r="G51" s="66"/>
      <c r="H51" s="69" t="e">
        <f>VLOOKUP(F51,Sp_score_ref!$A$2:$C$1517,2,FALSE)</f>
        <v>#N/A</v>
      </c>
      <c r="I51" s="70" t="e">
        <f>VLOOKUP(F51,Sp_score_ref!$A$2:$C$1517,3,FALSE)</f>
        <v>#N/A</v>
      </c>
      <c r="J51" s="56"/>
      <c r="K51" s="7" t="e">
        <f t="shared" si="0"/>
        <v>#N/A</v>
      </c>
      <c r="L51" s="7" t="e">
        <f t="shared" si="1"/>
        <v>#N/A</v>
      </c>
      <c r="M51" s="7" t="e">
        <f t="shared" si="2"/>
        <v>#N/A</v>
      </c>
      <c r="N51" s="7" t="e">
        <f t="shared" si="3"/>
        <v>#N/A</v>
      </c>
      <c r="O51" s="7" t="e">
        <f t="shared" si="4"/>
        <v>#N/A</v>
      </c>
      <c r="P51" s="7" t="e">
        <f t="shared" si="5"/>
        <v>#N/A</v>
      </c>
      <c r="Q51" s="7" t="e">
        <f t="shared" si="6"/>
        <v>#N/A</v>
      </c>
      <c r="R51" s="7" t="e">
        <f t="shared" si="7"/>
        <v>#N/A</v>
      </c>
      <c r="S51" s="7" t="e">
        <f t="shared" si="8"/>
        <v>#N/A</v>
      </c>
      <c r="T51" s="7" t="e">
        <f t="shared" si="9"/>
        <v>#N/A</v>
      </c>
      <c r="U51" s="7" t="e">
        <f t="shared" si="10"/>
        <v>#N/A</v>
      </c>
      <c r="V51" s="7" t="e">
        <f t="shared" si="11"/>
        <v>#N/A</v>
      </c>
      <c r="W51" s="7" t="e">
        <f t="shared" si="12"/>
        <v>#N/A</v>
      </c>
      <c r="X51" s="7" t="e">
        <f t="shared" si="13"/>
        <v>#N/A</v>
      </c>
      <c r="Y51" s="7" t="e">
        <f t="shared" si="14"/>
        <v>#N/A</v>
      </c>
      <c r="Z51" s="7" t="e">
        <f t="shared" si="15"/>
        <v>#N/A</v>
      </c>
      <c r="AA51" s="7" t="e">
        <f t="shared" si="16"/>
        <v>#N/A</v>
      </c>
      <c r="AB51" s="7" t="e">
        <f t="shared" si="17"/>
        <v>#N/A</v>
      </c>
      <c r="AM51" s="4"/>
      <c r="AN51" s="4"/>
    </row>
    <row r="52" spans="5:40">
      <c r="F52" s="65"/>
      <c r="G52" s="66"/>
      <c r="H52" s="69" t="e">
        <f>VLOOKUP(F52,Sp_score_ref!$A$2:$C$1517,2,FALSE)</f>
        <v>#N/A</v>
      </c>
      <c r="I52" s="70" t="e">
        <f>VLOOKUP(F52,Sp_score_ref!$A$2:$C$1517,3,FALSE)</f>
        <v>#N/A</v>
      </c>
      <c r="J52" s="56"/>
      <c r="K52" s="7" t="e">
        <f t="shared" si="0"/>
        <v>#N/A</v>
      </c>
      <c r="L52" s="7" t="e">
        <f t="shared" si="1"/>
        <v>#N/A</v>
      </c>
      <c r="M52" s="7" t="e">
        <f t="shared" si="2"/>
        <v>#N/A</v>
      </c>
      <c r="N52" s="7" t="e">
        <f t="shared" si="3"/>
        <v>#N/A</v>
      </c>
      <c r="O52" s="7" t="e">
        <f t="shared" si="4"/>
        <v>#N/A</v>
      </c>
      <c r="P52" s="7" t="e">
        <f t="shared" si="5"/>
        <v>#N/A</v>
      </c>
      <c r="Q52" s="7" t="e">
        <f t="shared" si="6"/>
        <v>#N/A</v>
      </c>
      <c r="R52" s="7" t="e">
        <f t="shared" si="7"/>
        <v>#N/A</v>
      </c>
      <c r="S52" s="7" t="e">
        <f t="shared" si="8"/>
        <v>#N/A</v>
      </c>
      <c r="T52" s="7" t="e">
        <f t="shared" si="9"/>
        <v>#N/A</v>
      </c>
      <c r="U52" s="7" t="e">
        <f t="shared" si="10"/>
        <v>#N/A</v>
      </c>
      <c r="V52" s="7" t="e">
        <f t="shared" si="11"/>
        <v>#N/A</v>
      </c>
      <c r="W52" s="7" t="e">
        <f t="shared" si="12"/>
        <v>#N/A</v>
      </c>
      <c r="X52" s="7" t="e">
        <f t="shared" si="13"/>
        <v>#N/A</v>
      </c>
      <c r="Y52" s="7" t="e">
        <f t="shared" si="14"/>
        <v>#N/A</v>
      </c>
      <c r="Z52" s="7" t="e">
        <f t="shared" si="15"/>
        <v>#N/A</v>
      </c>
      <c r="AA52" s="7" t="e">
        <f t="shared" si="16"/>
        <v>#N/A</v>
      </c>
      <c r="AB52" s="7" t="e">
        <f t="shared" si="17"/>
        <v>#N/A</v>
      </c>
      <c r="AM52" s="4"/>
      <c r="AN52" s="4"/>
    </row>
    <row r="53" spans="5:40">
      <c r="F53" s="65"/>
      <c r="G53" s="66"/>
      <c r="H53" s="69" t="e">
        <f>VLOOKUP(F53,Sp_score_ref!$A$2:$C$1517,2,FALSE)</f>
        <v>#N/A</v>
      </c>
      <c r="I53" s="70" t="e">
        <f>VLOOKUP(F53,Sp_score_ref!$A$2:$C$1517,3,FALSE)</f>
        <v>#N/A</v>
      </c>
      <c r="J53" s="56"/>
      <c r="K53" s="7" t="e">
        <f t="shared" si="0"/>
        <v>#N/A</v>
      </c>
      <c r="L53" s="7" t="e">
        <f t="shared" si="1"/>
        <v>#N/A</v>
      </c>
      <c r="M53" s="7" t="e">
        <f t="shared" si="2"/>
        <v>#N/A</v>
      </c>
      <c r="N53" s="7" t="e">
        <f t="shared" si="3"/>
        <v>#N/A</v>
      </c>
      <c r="O53" s="7" t="e">
        <f t="shared" si="4"/>
        <v>#N/A</v>
      </c>
      <c r="P53" s="7" t="e">
        <f t="shared" si="5"/>
        <v>#N/A</v>
      </c>
      <c r="Q53" s="7" t="e">
        <f t="shared" si="6"/>
        <v>#N/A</v>
      </c>
      <c r="R53" s="7" t="e">
        <f t="shared" si="7"/>
        <v>#N/A</v>
      </c>
      <c r="S53" s="7" t="e">
        <f t="shared" si="8"/>
        <v>#N/A</v>
      </c>
      <c r="T53" s="7" t="e">
        <f t="shared" si="9"/>
        <v>#N/A</v>
      </c>
      <c r="U53" s="7" t="e">
        <f t="shared" si="10"/>
        <v>#N/A</v>
      </c>
      <c r="V53" s="7" t="e">
        <f t="shared" si="11"/>
        <v>#N/A</v>
      </c>
      <c r="W53" s="7" t="e">
        <f t="shared" si="12"/>
        <v>#N/A</v>
      </c>
      <c r="X53" s="7" t="e">
        <f t="shared" si="13"/>
        <v>#N/A</v>
      </c>
      <c r="Y53" s="7" t="e">
        <f t="shared" si="14"/>
        <v>#N/A</v>
      </c>
      <c r="Z53" s="7" t="e">
        <f t="shared" si="15"/>
        <v>#N/A</v>
      </c>
      <c r="AA53" s="7" t="e">
        <f t="shared" si="16"/>
        <v>#N/A</v>
      </c>
      <c r="AB53" s="7" t="e">
        <f t="shared" si="17"/>
        <v>#N/A</v>
      </c>
      <c r="AM53" s="4"/>
      <c r="AN53" s="4"/>
    </row>
    <row r="54" spans="5:40">
      <c r="F54" s="65"/>
      <c r="G54" s="66"/>
      <c r="H54" s="69" t="e">
        <f>VLOOKUP(F54,Sp_score_ref!$A$2:$C$1517,2,FALSE)</f>
        <v>#N/A</v>
      </c>
      <c r="I54" s="70" t="e">
        <f>VLOOKUP(F54,Sp_score_ref!$A$2:$C$1517,3,FALSE)</f>
        <v>#N/A</v>
      </c>
      <c r="J54" s="56"/>
      <c r="K54" s="7" t="e">
        <f t="shared" si="0"/>
        <v>#N/A</v>
      </c>
      <c r="L54" s="7" t="e">
        <f t="shared" si="1"/>
        <v>#N/A</v>
      </c>
      <c r="M54" s="7" t="e">
        <f t="shared" si="2"/>
        <v>#N/A</v>
      </c>
      <c r="N54" s="7" t="e">
        <f t="shared" si="3"/>
        <v>#N/A</v>
      </c>
      <c r="O54" s="7" t="e">
        <f t="shared" si="4"/>
        <v>#N/A</v>
      </c>
      <c r="P54" s="7" t="e">
        <f t="shared" si="5"/>
        <v>#N/A</v>
      </c>
      <c r="Q54" s="7" t="e">
        <f t="shared" si="6"/>
        <v>#N/A</v>
      </c>
      <c r="R54" s="7" t="e">
        <f t="shared" si="7"/>
        <v>#N/A</v>
      </c>
      <c r="S54" s="7" t="e">
        <f t="shared" si="8"/>
        <v>#N/A</v>
      </c>
      <c r="T54" s="7" t="e">
        <f t="shared" si="9"/>
        <v>#N/A</v>
      </c>
      <c r="U54" s="7" t="e">
        <f t="shared" si="10"/>
        <v>#N/A</v>
      </c>
      <c r="V54" s="7" t="e">
        <f t="shared" si="11"/>
        <v>#N/A</v>
      </c>
      <c r="W54" s="7" t="e">
        <f t="shared" si="12"/>
        <v>#N/A</v>
      </c>
      <c r="X54" s="7" t="e">
        <f t="shared" si="13"/>
        <v>#N/A</v>
      </c>
      <c r="Y54" s="7" t="e">
        <f t="shared" si="14"/>
        <v>#N/A</v>
      </c>
      <c r="Z54" s="7" t="e">
        <f t="shared" si="15"/>
        <v>#N/A</v>
      </c>
      <c r="AA54" s="7" t="e">
        <f t="shared" si="16"/>
        <v>#N/A</v>
      </c>
      <c r="AB54" s="7" t="e">
        <f t="shared" si="17"/>
        <v>#N/A</v>
      </c>
      <c r="AM54" s="4"/>
      <c r="AN54" s="4"/>
    </row>
    <row r="55" spans="5:40">
      <c r="F55" s="65"/>
      <c r="G55" s="66"/>
      <c r="H55" s="69" t="e">
        <f>VLOOKUP(F55,Sp_score_ref!$A$2:$C$1517,2,FALSE)</f>
        <v>#N/A</v>
      </c>
      <c r="I55" s="70" t="e">
        <f>VLOOKUP(F55,Sp_score_ref!$A$2:$C$1517,3,FALSE)</f>
        <v>#N/A</v>
      </c>
      <c r="J55" s="56"/>
      <c r="K55" s="7" t="e">
        <f t="shared" si="0"/>
        <v>#N/A</v>
      </c>
      <c r="L55" s="7" t="e">
        <f t="shared" si="1"/>
        <v>#N/A</v>
      </c>
      <c r="M55" s="7" t="e">
        <f t="shared" si="2"/>
        <v>#N/A</v>
      </c>
      <c r="N55" s="7" t="e">
        <f t="shared" si="3"/>
        <v>#N/A</v>
      </c>
      <c r="O55" s="7" t="e">
        <f t="shared" si="4"/>
        <v>#N/A</v>
      </c>
      <c r="P55" s="7" t="e">
        <f t="shared" si="5"/>
        <v>#N/A</v>
      </c>
      <c r="Q55" s="7" t="e">
        <f t="shared" si="6"/>
        <v>#N/A</v>
      </c>
      <c r="R55" s="7" t="e">
        <f t="shared" si="7"/>
        <v>#N/A</v>
      </c>
      <c r="S55" s="7" t="e">
        <f t="shared" si="8"/>
        <v>#N/A</v>
      </c>
      <c r="T55" s="7" t="e">
        <f t="shared" si="9"/>
        <v>#N/A</v>
      </c>
      <c r="U55" s="7" t="e">
        <f t="shared" si="10"/>
        <v>#N/A</v>
      </c>
      <c r="V55" s="7" t="e">
        <f t="shared" si="11"/>
        <v>#N/A</v>
      </c>
      <c r="W55" s="7" t="e">
        <f t="shared" si="12"/>
        <v>#N/A</v>
      </c>
      <c r="X55" s="7" t="e">
        <f t="shared" si="13"/>
        <v>#N/A</v>
      </c>
      <c r="Y55" s="7" t="e">
        <f t="shared" si="14"/>
        <v>#N/A</v>
      </c>
      <c r="Z55" s="7" t="e">
        <f t="shared" si="15"/>
        <v>#N/A</v>
      </c>
      <c r="AA55" s="7" t="e">
        <f t="shared" si="16"/>
        <v>#N/A</v>
      </c>
      <c r="AB55" s="7" t="e">
        <f t="shared" si="17"/>
        <v>#N/A</v>
      </c>
      <c r="AM55" s="4"/>
      <c r="AN55" s="4"/>
    </row>
    <row r="56" spans="5:40">
      <c r="F56" s="65"/>
      <c r="G56" s="66"/>
      <c r="H56" s="69" t="e">
        <f>VLOOKUP(F56,Sp_score_ref!$A$2:$C$1517,2,FALSE)</f>
        <v>#N/A</v>
      </c>
      <c r="I56" s="70" t="e">
        <f>VLOOKUP(F56,Sp_score_ref!$A$2:$C$1517,3,FALSE)</f>
        <v>#N/A</v>
      </c>
      <c r="J56" s="56"/>
      <c r="K56" s="7" t="e">
        <f t="shared" si="0"/>
        <v>#N/A</v>
      </c>
      <c r="L56" s="7" t="e">
        <f t="shared" si="1"/>
        <v>#N/A</v>
      </c>
      <c r="M56" s="7" t="e">
        <f t="shared" si="2"/>
        <v>#N/A</v>
      </c>
      <c r="N56" s="7" t="e">
        <f t="shared" si="3"/>
        <v>#N/A</v>
      </c>
      <c r="O56" s="7" t="e">
        <f t="shared" si="4"/>
        <v>#N/A</v>
      </c>
      <c r="P56" s="7" t="e">
        <f t="shared" si="5"/>
        <v>#N/A</v>
      </c>
      <c r="Q56" s="7" t="e">
        <f t="shared" si="6"/>
        <v>#N/A</v>
      </c>
      <c r="R56" s="7" t="e">
        <f t="shared" si="7"/>
        <v>#N/A</v>
      </c>
      <c r="S56" s="7" t="e">
        <f t="shared" si="8"/>
        <v>#N/A</v>
      </c>
      <c r="T56" s="7" t="e">
        <f t="shared" si="9"/>
        <v>#N/A</v>
      </c>
      <c r="U56" s="7" t="e">
        <f t="shared" si="10"/>
        <v>#N/A</v>
      </c>
      <c r="V56" s="7" t="e">
        <f t="shared" si="11"/>
        <v>#N/A</v>
      </c>
      <c r="W56" s="7" t="e">
        <f t="shared" si="12"/>
        <v>#N/A</v>
      </c>
      <c r="X56" s="7" t="e">
        <f t="shared" si="13"/>
        <v>#N/A</v>
      </c>
      <c r="Y56" s="7" t="e">
        <f t="shared" si="14"/>
        <v>#N/A</v>
      </c>
      <c r="Z56" s="7" t="e">
        <f t="shared" si="15"/>
        <v>#N/A</v>
      </c>
      <c r="AA56" s="7" t="e">
        <f t="shared" si="16"/>
        <v>#N/A</v>
      </c>
      <c r="AB56" s="7" t="e">
        <f t="shared" si="17"/>
        <v>#N/A</v>
      </c>
      <c r="AM56" s="4"/>
      <c r="AN56" s="4"/>
    </row>
    <row r="57" spans="5:40">
      <c r="E57"/>
      <c r="F57" s="65"/>
      <c r="G57" s="66"/>
      <c r="H57" s="69" t="e">
        <f>VLOOKUP(F57,Sp_score_ref!$A$2:$C$1517,2,FALSE)</f>
        <v>#N/A</v>
      </c>
      <c r="I57" s="70" t="e">
        <f>VLOOKUP(F57,Sp_score_ref!$A$2:$C$1517,3,FALSE)</f>
        <v>#N/A</v>
      </c>
      <c r="J57" s="56"/>
      <c r="K57" s="7" t="e">
        <f t="shared" si="0"/>
        <v>#N/A</v>
      </c>
      <c r="L57" s="7" t="e">
        <f t="shared" si="1"/>
        <v>#N/A</v>
      </c>
      <c r="M57" s="7" t="e">
        <f t="shared" si="2"/>
        <v>#N/A</v>
      </c>
      <c r="N57" s="7" t="e">
        <f t="shared" si="3"/>
        <v>#N/A</v>
      </c>
      <c r="O57" s="7" t="e">
        <f t="shared" si="4"/>
        <v>#N/A</v>
      </c>
      <c r="P57" s="7" t="e">
        <f t="shared" si="5"/>
        <v>#N/A</v>
      </c>
      <c r="Q57" s="7" t="e">
        <f t="shared" si="6"/>
        <v>#N/A</v>
      </c>
      <c r="R57" s="7" t="e">
        <f t="shared" si="7"/>
        <v>#N/A</v>
      </c>
      <c r="S57" s="7" t="e">
        <f t="shared" si="8"/>
        <v>#N/A</v>
      </c>
      <c r="T57" s="7" t="e">
        <f t="shared" si="9"/>
        <v>#N/A</v>
      </c>
      <c r="U57" s="7" t="e">
        <f t="shared" si="10"/>
        <v>#N/A</v>
      </c>
      <c r="V57" s="7" t="e">
        <f t="shared" si="11"/>
        <v>#N/A</v>
      </c>
      <c r="W57" s="7" t="e">
        <f t="shared" si="12"/>
        <v>#N/A</v>
      </c>
      <c r="X57" s="7" t="e">
        <f t="shared" si="13"/>
        <v>#N/A</v>
      </c>
      <c r="Y57" s="7" t="e">
        <f t="shared" si="14"/>
        <v>#N/A</v>
      </c>
      <c r="Z57" s="7" t="e">
        <f t="shared" si="15"/>
        <v>#N/A</v>
      </c>
      <c r="AA57" s="7" t="e">
        <f t="shared" si="16"/>
        <v>#N/A</v>
      </c>
      <c r="AB57" s="7" t="e">
        <f t="shared" si="17"/>
        <v>#N/A</v>
      </c>
      <c r="AM57" s="4"/>
      <c r="AN57" s="4"/>
    </row>
    <row r="58" spans="5:40">
      <c r="E58"/>
      <c r="F58" s="65"/>
      <c r="G58" s="66"/>
      <c r="H58" s="69" t="e">
        <f>VLOOKUP(F58,Sp_score_ref!$A$2:$C$1517,2,FALSE)</f>
        <v>#N/A</v>
      </c>
      <c r="I58" s="70" t="e">
        <f>VLOOKUP(F58,Sp_score_ref!$A$2:$C$1517,3,FALSE)</f>
        <v>#N/A</v>
      </c>
      <c r="J58" s="56"/>
      <c r="K58" s="7" t="e">
        <f t="shared" si="0"/>
        <v>#N/A</v>
      </c>
      <c r="L58" s="7" t="e">
        <f t="shared" si="1"/>
        <v>#N/A</v>
      </c>
      <c r="M58" s="7" t="e">
        <f t="shared" si="2"/>
        <v>#N/A</v>
      </c>
      <c r="N58" s="7" t="e">
        <f t="shared" si="3"/>
        <v>#N/A</v>
      </c>
      <c r="O58" s="7" t="e">
        <f t="shared" si="4"/>
        <v>#N/A</v>
      </c>
      <c r="P58" s="7" t="e">
        <f t="shared" si="5"/>
        <v>#N/A</v>
      </c>
      <c r="Q58" s="7" t="e">
        <f t="shared" si="6"/>
        <v>#N/A</v>
      </c>
      <c r="R58" s="7" t="e">
        <f t="shared" si="7"/>
        <v>#N/A</v>
      </c>
      <c r="S58" s="7" t="e">
        <f t="shared" si="8"/>
        <v>#N/A</v>
      </c>
      <c r="T58" s="7" t="e">
        <f t="shared" si="9"/>
        <v>#N/A</v>
      </c>
      <c r="U58" s="7" t="e">
        <f t="shared" si="10"/>
        <v>#N/A</v>
      </c>
      <c r="V58" s="7" t="e">
        <f t="shared" si="11"/>
        <v>#N/A</v>
      </c>
      <c r="W58" s="7" t="e">
        <f t="shared" si="12"/>
        <v>#N/A</v>
      </c>
      <c r="X58" s="7" t="e">
        <f t="shared" si="13"/>
        <v>#N/A</v>
      </c>
      <c r="Y58" s="7" t="e">
        <f t="shared" si="14"/>
        <v>#N/A</v>
      </c>
      <c r="Z58" s="7" t="e">
        <f t="shared" si="15"/>
        <v>#N/A</v>
      </c>
      <c r="AA58" s="7" t="e">
        <f t="shared" si="16"/>
        <v>#N/A</v>
      </c>
      <c r="AB58" s="7" t="e">
        <f t="shared" si="17"/>
        <v>#N/A</v>
      </c>
      <c r="AM58" s="4"/>
      <c r="AN58" s="4"/>
    </row>
    <row r="59" spans="5:40">
      <c r="F59" s="65"/>
      <c r="G59" s="66"/>
      <c r="H59" s="69" t="e">
        <f>VLOOKUP(F59,Sp_score_ref!$A$2:$C$1517,2,FALSE)</f>
        <v>#N/A</v>
      </c>
      <c r="I59" s="70" t="e">
        <f>VLOOKUP(F59,Sp_score_ref!$A$2:$C$1517,3,FALSE)</f>
        <v>#N/A</v>
      </c>
      <c r="J59" s="56"/>
      <c r="K59" s="7" t="e">
        <f t="shared" si="0"/>
        <v>#N/A</v>
      </c>
      <c r="L59" s="7" t="e">
        <f t="shared" si="1"/>
        <v>#N/A</v>
      </c>
      <c r="M59" s="7" t="e">
        <f t="shared" si="2"/>
        <v>#N/A</v>
      </c>
      <c r="N59" s="7" t="e">
        <f t="shared" si="3"/>
        <v>#N/A</v>
      </c>
      <c r="O59" s="7" t="e">
        <f t="shared" si="4"/>
        <v>#N/A</v>
      </c>
      <c r="P59" s="7" t="e">
        <f t="shared" si="5"/>
        <v>#N/A</v>
      </c>
      <c r="Q59" s="7" t="e">
        <f t="shared" si="6"/>
        <v>#N/A</v>
      </c>
      <c r="R59" s="7" t="e">
        <f t="shared" si="7"/>
        <v>#N/A</v>
      </c>
      <c r="S59" s="7" t="e">
        <f t="shared" si="8"/>
        <v>#N/A</v>
      </c>
      <c r="T59" s="7" t="e">
        <f t="shared" si="9"/>
        <v>#N/A</v>
      </c>
      <c r="U59" s="7" t="e">
        <f t="shared" si="10"/>
        <v>#N/A</v>
      </c>
      <c r="V59" s="7" t="e">
        <f t="shared" si="11"/>
        <v>#N/A</v>
      </c>
      <c r="W59" s="7" t="e">
        <f t="shared" si="12"/>
        <v>#N/A</v>
      </c>
      <c r="X59" s="7" t="e">
        <f t="shared" si="13"/>
        <v>#N/A</v>
      </c>
      <c r="Y59" s="7" t="e">
        <f t="shared" si="14"/>
        <v>#N/A</v>
      </c>
      <c r="Z59" s="7" t="e">
        <f t="shared" si="15"/>
        <v>#N/A</v>
      </c>
      <c r="AA59" s="7" t="e">
        <f t="shared" si="16"/>
        <v>#N/A</v>
      </c>
      <c r="AB59" s="7" t="e">
        <f t="shared" si="17"/>
        <v>#N/A</v>
      </c>
      <c r="AM59" s="4"/>
      <c r="AN59" s="4"/>
    </row>
    <row r="60" spans="5:40">
      <c r="F60" s="65"/>
      <c r="G60" s="66"/>
      <c r="H60" s="69" t="e">
        <f>VLOOKUP(F60,Sp_score_ref!$A$2:$C$1517,2,FALSE)</f>
        <v>#N/A</v>
      </c>
      <c r="I60" s="70" t="e">
        <f>VLOOKUP(F60,Sp_score_ref!$A$2:$C$1517,3,FALSE)</f>
        <v>#N/A</v>
      </c>
      <c r="J60" s="56"/>
      <c r="K60" s="7" t="e">
        <f t="shared" si="0"/>
        <v>#N/A</v>
      </c>
      <c r="L60" s="7" t="e">
        <f t="shared" si="1"/>
        <v>#N/A</v>
      </c>
      <c r="M60" s="7" t="e">
        <f t="shared" si="2"/>
        <v>#N/A</v>
      </c>
      <c r="N60" s="7" t="e">
        <f t="shared" si="3"/>
        <v>#N/A</v>
      </c>
      <c r="O60" s="7" t="e">
        <f t="shared" si="4"/>
        <v>#N/A</v>
      </c>
      <c r="P60" s="7" t="e">
        <f t="shared" si="5"/>
        <v>#N/A</v>
      </c>
      <c r="Q60" s="7" t="e">
        <f t="shared" si="6"/>
        <v>#N/A</v>
      </c>
      <c r="R60" s="7" t="e">
        <f t="shared" si="7"/>
        <v>#N/A</v>
      </c>
      <c r="S60" s="7" t="e">
        <f t="shared" si="8"/>
        <v>#N/A</v>
      </c>
      <c r="T60" s="7" t="e">
        <f t="shared" si="9"/>
        <v>#N/A</v>
      </c>
      <c r="U60" s="7" t="e">
        <f t="shared" si="10"/>
        <v>#N/A</v>
      </c>
      <c r="V60" s="7" t="e">
        <f t="shared" si="11"/>
        <v>#N/A</v>
      </c>
      <c r="W60" s="7" t="e">
        <f t="shared" si="12"/>
        <v>#N/A</v>
      </c>
      <c r="X60" s="7" t="e">
        <f t="shared" si="13"/>
        <v>#N/A</v>
      </c>
      <c r="Y60" s="7" t="e">
        <f t="shared" si="14"/>
        <v>#N/A</v>
      </c>
      <c r="Z60" s="7" t="e">
        <f t="shared" si="15"/>
        <v>#N/A</v>
      </c>
      <c r="AA60" s="7" t="e">
        <f t="shared" si="16"/>
        <v>#N/A</v>
      </c>
      <c r="AB60" s="7" t="e">
        <f t="shared" si="17"/>
        <v>#N/A</v>
      </c>
      <c r="AM60" s="4"/>
      <c r="AN60" s="4"/>
    </row>
    <row r="61" spans="5:40">
      <c r="F61" s="65"/>
      <c r="G61" s="66"/>
      <c r="H61" s="69" t="e">
        <f>VLOOKUP(F61,Sp_score_ref!$A$2:$C$1517,2,FALSE)</f>
        <v>#N/A</v>
      </c>
      <c r="I61" s="70" t="e">
        <f>VLOOKUP(F61,Sp_score_ref!$A$2:$C$1517,3,FALSE)</f>
        <v>#N/A</v>
      </c>
      <c r="J61" s="56"/>
      <c r="K61" s="7" t="e">
        <f t="shared" si="0"/>
        <v>#N/A</v>
      </c>
      <c r="L61" s="7" t="e">
        <f t="shared" si="1"/>
        <v>#N/A</v>
      </c>
      <c r="M61" s="7" t="e">
        <f t="shared" si="2"/>
        <v>#N/A</v>
      </c>
      <c r="N61" s="7" t="e">
        <f t="shared" si="3"/>
        <v>#N/A</v>
      </c>
      <c r="O61" s="7" t="e">
        <f t="shared" si="4"/>
        <v>#N/A</v>
      </c>
      <c r="P61" s="7" t="e">
        <f t="shared" si="5"/>
        <v>#N/A</v>
      </c>
      <c r="Q61" s="7" t="e">
        <f t="shared" si="6"/>
        <v>#N/A</v>
      </c>
      <c r="R61" s="7" t="e">
        <f t="shared" si="7"/>
        <v>#N/A</v>
      </c>
      <c r="S61" s="7" t="e">
        <f t="shared" si="8"/>
        <v>#N/A</v>
      </c>
      <c r="T61" s="7" t="e">
        <f t="shared" si="9"/>
        <v>#N/A</v>
      </c>
      <c r="U61" s="7" t="e">
        <f t="shared" si="10"/>
        <v>#N/A</v>
      </c>
      <c r="V61" s="7" t="e">
        <f t="shared" si="11"/>
        <v>#N/A</v>
      </c>
      <c r="W61" s="7" t="e">
        <f t="shared" si="12"/>
        <v>#N/A</v>
      </c>
      <c r="X61" s="7" t="e">
        <f t="shared" si="13"/>
        <v>#N/A</v>
      </c>
      <c r="Y61" s="7" t="e">
        <f t="shared" si="14"/>
        <v>#N/A</v>
      </c>
      <c r="Z61" s="7" t="e">
        <f t="shared" si="15"/>
        <v>#N/A</v>
      </c>
      <c r="AA61" s="7" t="e">
        <f t="shared" si="16"/>
        <v>#N/A</v>
      </c>
      <c r="AB61" s="7" t="e">
        <f t="shared" si="17"/>
        <v>#N/A</v>
      </c>
      <c r="AM61" s="4"/>
      <c r="AN61" s="4"/>
    </row>
    <row r="62" spans="5:40">
      <c r="E62" s="7"/>
      <c r="F62" s="65"/>
      <c r="G62" s="66"/>
      <c r="H62" s="69" t="e">
        <f>VLOOKUP(F62,Sp_score_ref!$A$2:$C$1517,2,FALSE)</f>
        <v>#N/A</v>
      </c>
      <c r="I62" s="70" t="e">
        <f>VLOOKUP(F62,Sp_score_ref!$A$2:$C$1517,3,FALSE)</f>
        <v>#N/A</v>
      </c>
      <c r="J62" s="56"/>
      <c r="K62" s="7" t="e">
        <f t="shared" si="0"/>
        <v>#N/A</v>
      </c>
      <c r="L62" s="7" t="e">
        <f t="shared" si="1"/>
        <v>#N/A</v>
      </c>
      <c r="M62" s="7" t="e">
        <f t="shared" si="2"/>
        <v>#N/A</v>
      </c>
      <c r="N62" s="7" t="e">
        <f t="shared" si="3"/>
        <v>#N/A</v>
      </c>
      <c r="O62" s="7" t="e">
        <f t="shared" si="4"/>
        <v>#N/A</v>
      </c>
      <c r="P62" s="7" t="e">
        <f t="shared" si="5"/>
        <v>#N/A</v>
      </c>
      <c r="Q62" s="7" t="e">
        <f t="shared" si="6"/>
        <v>#N/A</v>
      </c>
      <c r="R62" s="7" t="e">
        <f t="shared" si="7"/>
        <v>#N/A</v>
      </c>
      <c r="S62" s="7" t="e">
        <f t="shared" si="8"/>
        <v>#N/A</v>
      </c>
      <c r="T62" s="7" t="e">
        <f t="shared" si="9"/>
        <v>#N/A</v>
      </c>
      <c r="U62" s="7" t="e">
        <f t="shared" si="10"/>
        <v>#N/A</v>
      </c>
      <c r="V62" s="7" t="e">
        <f t="shared" si="11"/>
        <v>#N/A</v>
      </c>
      <c r="W62" s="7" t="e">
        <f t="shared" si="12"/>
        <v>#N/A</v>
      </c>
      <c r="X62" s="7" t="e">
        <f t="shared" si="13"/>
        <v>#N/A</v>
      </c>
      <c r="Y62" s="7" t="e">
        <f t="shared" si="14"/>
        <v>#N/A</v>
      </c>
      <c r="Z62" s="7" t="e">
        <f t="shared" si="15"/>
        <v>#N/A</v>
      </c>
      <c r="AA62" s="7" t="e">
        <f t="shared" si="16"/>
        <v>#N/A</v>
      </c>
      <c r="AB62" s="7" t="e">
        <f t="shared" si="17"/>
        <v>#N/A</v>
      </c>
      <c r="AM62" s="4"/>
      <c r="AN62" s="4"/>
    </row>
    <row r="63" spans="5:40">
      <c r="E63" s="7"/>
      <c r="F63" s="65"/>
      <c r="G63" s="66"/>
      <c r="H63" s="69" t="e">
        <f>VLOOKUP(F63,Sp_score_ref!$A$2:$C$1517,2,FALSE)</f>
        <v>#N/A</v>
      </c>
      <c r="I63" s="70" t="e">
        <f>VLOOKUP(F63,Sp_score_ref!$A$2:$C$1517,3,FALSE)</f>
        <v>#N/A</v>
      </c>
      <c r="J63" s="56"/>
      <c r="K63" s="7" t="e">
        <f t="shared" si="0"/>
        <v>#N/A</v>
      </c>
      <c r="L63" s="7" t="e">
        <f t="shared" si="1"/>
        <v>#N/A</v>
      </c>
      <c r="M63" s="7" t="e">
        <f t="shared" si="2"/>
        <v>#N/A</v>
      </c>
      <c r="N63" s="7" t="e">
        <f t="shared" si="3"/>
        <v>#N/A</v>
      </c>
      <c r="O63" s="7" t="e">
        <f t="shared" si="4"/>
        <v>#N/A</v>
      </c>
      <c r="P63" s="7" t="e">
        <f t="shared" si="5"/>
        <v>#N/A</v>
      </c>
      <c r="Q63" s="7" t="e">
        <f t="shared" si="6"/>
        <v>#N/A</v>
      </c>
      <c r="R63" s="7" t="e">
        <f t="shared" si="7"/>
        <v>#N/A</v>
      </c>
      <c r="S63" s="7" t="e">
        <f t="shared" si="8"/>
        <v>#N/A</v>
      </c>
      <c r="T63" s="7" t="e">
        <f t="shared" si="9"/>
        <v>#N/A</v>
      </c>
      <c r="U63" s="7" t="e">
        <f t="shared" si="10"/>
        <v>#N/A</v>
      </c>
      <c r="V63" s="7" t="e">
        <f t="shared" si="11"/>
        <v>#N/A</v>
      </c>
      <c r="W63" s="7" t="e">
        <f t="shared" si="12"/>
        <v>#N/A</v>
      </c>
      <c r="X63" s="7" t="e">
        <f t="shared" si="13"/>
        <v>#N/A</v>
      </c>
      <c r="Y63" s="7" t="e">
        <f t="shared" si="14"/>
        <v>#N/A</v>
      </c>
      <c r="Z63" s="7" t="e">
        <f t="shared" si="15"/>
        <v>#N/A</v>
      </c>
      <c r="AA63" s="7" t="e">
        <f t="shared" si="16"/>
        <v>#N/A</v>
      </c>
      <c r="AB63" s="7" t="e">
        <f t="shared" si="17"/>
        <v>#N/A</v>
      </c>
      <c r="AM63" s="4"/>
      <c r="AN63" s="4"/>
    </row>
    <row r="64" spans="5:40" ht="13.8" thickBot="1">
      <c r="E64" s="7"/>
      <c r="F64" s="65"/>
      <c r="G64" s="66"/>
      <c r="H64" s="69" t="e">
        <f>VLOOKUP(F64,Sp_score_ref!$A$2:$C$1517,2,FALSE)</f>
        <v>#N/A</v>
      </c>
      <c r="I64" s="70" t="e">
        <f>VLOOKUP(F64,Sp_score_ref!$A$2:$C$1517,3,FALSE)</f>
        <v>#N/A</v>
      </c>
      <c r="J64" s="56"/>
      <c r="K64" s="7" t="e">
        <f t="shared" si="0"/>
        <v>#N/A</v>
      </c>
      <c r="L64" s="7" t="e">
        <f t="shared" si="1"/>
        <v>#N/A</v>
      </c>
      <c r="M64" s="7" t="e">
        <f t="shared" si="2"/>
        <v>#N/A</v>
      </c>
      <c r="N64" s="7" t="e">
        <f t="shared" si="3"/>
        <v>#N/A</v>
      </c>
      <c r="O64" s="7" t="e">
        <f t="shared" si="4"/>
        <v>#N/A</v>
      </c>
      <c r="P64" s="7" t="e">
        <f t="shared" si="5"/>
        <v>#N/A</v>
      </c>
      <c r="Q64" s="7" t="e">
        <f t="shared" si="6"/>
        <v>#N/A</v>
      </c>
      <c r="R64" s="7" t="e">
        <f t="shared" si="7"/>
        <v>#N/A</v>
      </c>
      <c r="S64" s="7" t="e">
        <f t="shared" si="8"/>
        <v>#N/A</v>
      </c>
      <c r="T64" s="7" t="e">
        <f t="shared" si="9"/>
        <v>#N/A</v>
      </c>
      <c r="U64" s="7" t="e">
        <f t="shared" si="10"/>
        <v>#N/A</v>
      </c>
      <c r="V64" s="7" t="e">
        <f t="shared" si="11"/>
        <v>#N/A</v>
      </c>
      <c r="W64" s="7" t="e">
        <f t="shared" si="12"/>
        <v>#N/A</v>
      </c>
      <c r="X64" s="7" t="e">
        <f t="shared" si="13"/>
        <v>#N/A</v>
      </c>
      <c r="Y64" s="7" t="e">
        <f t="shared" si="14"/>
        <v>#N/A</v>
      </c>
      <c r="Z64" s="7" t="e">
        <f t="shared" si="15"/>
        <v>#N/A</v>
      </c>
      <c r="AA64" s="7" t="e">
        <f t="shared" si="16"/>
        <v>#N/A</v>
      </c>
      <c r="AB64" s="7" t="e">
        <f t="shared" si="17"/>
        <v>#N/A</v>
      </c>
      <c r="AM64" s="4"/>
      <c r="AN64" s="4"/>
    </row>
    <row r="65" spans="3:41" ht="15" customHeight="1">
      <c r="C65" s="149" t="s">
        <v>68</v>
      </c>
      <c r="D65" s="150"/>
      <c r="E65" s="7"/>
      <c r="F65" s="65"/>
      <c r="G65" s="66"/>
      <c r="H65" s="69" t="e">
        <f>VLOOKUP(F65,Sp_score_ref!$A$2:$C$1517,2,FALSE)</f>
        <v>#N/A</v>
      </c>
      <c r="I65" s="70" t="e">
        <f>VLOOKUP(F65,Sp_score_ref!$A$2:$C$1517,3,FALSE)</f>
        <v>#N/A</v>
      </c>
      <c r="J65" s="56"/>
      <c r="K65" s="7" t="e">
        <f t="shared" si="0"/>
        <v>#N/A</v>
      </c>
      <c r="L65" s="7" t="e">
        <f t="shared" si="1"/>
        <v>#N/A</v>
      </c>
      <c r="M65" s="7" t="e">
        <f t="shared" si="2"/>
        <v>#N/A</v>
      </c>
      <c r="N65" s="7" t="e">
        <f t="shared" si="3"/>
        <v>#N/A</v>
      </c>
      <c r="O65" s="7" t="e">
        <f t="shared" si="4"/>
        <v>#N/A</v>
      </c>
      <c r="P65" s="7" t="e">
        <f t="shared" si="5"/>
        <v>#N/A</v>
      </c>
      <c r="Q65" s="7" t="e">
        <f t="shared" si="6"/>
        <v>#N/A</v>
      </c>
      <c r="R65" s="7" t="e">
        <f t="shared" si="7"/>
        <v>#N/A</v>
      </c>
      <c r="S65" s="7" t="e">
        <f t="shared" si="8"/>
        <v>#N/A</v>
      </c>
      <c r="T65" s="7" t="e">
        <f t="shared" si="9"/>
        <v>#N/A</v>
      </c>
      <c r="U65" s="7" t="e">
        <f t="shared" si="10"/>
        <v>#N/A</v>
      </c>
      <c r="V65" s="7" t="e">
        <f t="shared" si="11"/>
        <v>#N/A</v>
      </c>
      <c r="W65" s="7" t="e">
        <f t="shared" si="12"/>
        <v>#N/A</v>
      </c>
      <c r="X65" s="7" t="e">
        <f t="shared" si="13"/>
        <v>#N/A</v>
      </c>
      <c r="Y65" s="7" t="e">
        <f t="shared" si="14"/>
        <v>#N/A</v>
      </c>
      <c r="Z65" s="7" t="e">
        <f t="shared" si="15"/>
        <v>#N/A</v>
      </c>
      <c r="AA65" s="7" t="e">
        <f t="shared" si="16"/>
        <v>#N/A</v>
      </c>
      <c r="AB65" s="7" t="e">
        <f t="shared" si="17"/>
        <v>#N/A</v>
      </c>
      <c r="AM65" s="4"/>
      <c r="AN65" s="4"/>
    </row>
    <row r="66" spans="3:41">
      <c r="C66" s="151"/>
      <c r="D66" s="152"/>
      <c r="E66" s="7"/>
      <c r="F66" s="65"/>
      <c r="G66" s="66"/>
      <c r="H66" s="69" t="e">
        <f>VLOOKUP(F66,Sp_score_ref!$A$2:$C$1517,2,FALSE)</f>
        <v>#N/A</v>
      </c>
      <c r="I66" s="70" t="e">
        <f>VLOOKUP(F66,Sp_score_ref!$A$2:$C$1517,3,FALSE)</f>
        <v>#N/A</v>
      </c>
      <c r="J66" s="56"/>
      <c r="K66" s="7" t="e">
        <f t="shared" si="0"/>
        <v>#N/A</v>
      </c>
      <c r="L66" s="7" t="e">
        <f t="shared" si="1"/>
        <v>#N/A</v>
      </c>
      <c r="M66" s="7" t="e">
        <f t="shared" si="2"/>
        <v>#N/A</v>
      </c>
      <c r="N66" s="7" t="e">
        <f t="shared" si="3"/>
        <v>#N/A</v>
      </c>
      <c r="O66" s="7" t="e">
        <f t="shared" si="4"/>
        <v>#N/A</v>
      </c>
      <c r="P66" s="7" t="e">
        <f t="shared" si="5"/>
        <v>#N/A</v>
      </c>
      <c r="Q66" s="7" t="e">
        <f t="shared" si="6"/>
        <v>#N/A</v>
      </c>
      <c r="R66" s="7" t="e">
        <f t="shared" si="7"/>
        <v>#N/A</v>
      </c>
      <c r="S66" s="7" t="e">
        <f t="shared" si="8"/>
        <v>#N/A</v>
      </c>
      <c r="T66" s="7" t="e">
        <f t="shared" si="9"/>
        <v>#N/A</v>
      </c>
      <c r="U66" s="7" t="e">
        <f t="shared" si="10"/>
        <v>#N/A</v>
      </c>
      <c r="V66" s="7" t="e">
        <f t="shared" si="11"/>
        <v>#N/A</v>
      </c>
      <c r="W66" s="7" t="e">
        <f t="shared" si="12"/>
        <v>#N/A</v>
      </c>
      <c r="X66" s="7" t="e">
        <f t="shared" si="13"/>
        <v>#N/A</v>
      </c>
      <c r="Y66" s="7" t="e">
        <f t="shared" si="14"/>
        <v>#N/A</v>
      </c>
      <c r="Z66" s="7" t="e">
        <f t="shared" si="15"/>
        <v>#N/A</v>
      </c>
      <c r="AA66" s="7" t="e">
        <f t="shared" si="16"/>
        <v>#N/A</v>
      </c>
      <c r="AB66" s="7" t="e">
        <f t="shared" si="17"/>
        <v>#N/A</v>
      </c>
      <c r="AM66" s="4"/>
      <c r="AN66" s="4"/>
    </row>
    <row r="67" spans="3:41" ht="12.75" customHeight="1">
      <c r="C67" s="151"/>
      <c r="D67" s="152"/>
      <c r="E67" s="7"/>
      <c r="F67" s="65"/>
      <c r="G67" s="66"/>
      <c r="H67" s="69" t="e">
        <f>VLOOKUP(F67,Sp_score_ref!$A$2:$C$1517,2,FALSE)</f>
        <v>#N/A</v>
      </c>
      <c r="I67" s="70" t="e">
        <f>VLOOKUP(F67,Sp_score_ref!$A$2:$C$1517,3,FALSE)</f>
        <v>#N/A</v>
      </c>
      <c r="J67" s="56"/>
      <c r="K67" s="7" t="e">
        <f t="shared" si="0"/>
        <v>#N/A</v>
      </c>
      <c r="L67" s="7" t="e">
        <f t="shared" si="1"/>
        <v>#N/A</v>
      </c>
      <c r="M67" s="7" t="e">
        <f t="shared" si="2"/>
        <v>#N/A</v>
      </c>
      <c r="N67" s="7" t="e">
        <f t="shared" si="3"/>
        <v>#N/A</v>
      </c>
      <c r="O67" s="7" t="e">
        <f t="shared" si="4"/>
        <v>#N/A</v>
      </c>
      <c r="P67" s="7" t="e">
        <f t="shared" si="5"/>
        <v>#N/A</v>
      </c>
      <c r="Q67" s="7" t="e">
        <f t="shared" si="6"/>
        <v>#N/A</v>
      </c>
      <c r="R67" s="7" t="e">
        <f t="shared" si="7"/>
        <v>#N/A</v>
      </c>
      <c r="S67" s="7" t="e">
        <f t="shared" si="8"/>
        <v>#N/A</v>
      </c>
      <c r="T67" s="7" t="e">
        <f t="shared" si="9"/>
        <v>#N/A</v>
      </c>
      <c r="U67" s="7" t="e">
        <f t="shared" si="10"/>
        <v>#N/A</v>
      </c>
      <c r="V67" s="7" t="e">
        <f t="shared" si="11"/>
        <v>#N/A</v>
      </c>
      <c r="W67" s="7" t="e">
        <f t="shared" si="12"/>
        <v>#N/A</v>
      </c>
      <c r="X67" s="7" t="e">
        <f t="shared" si="13"/>
        <v>#N/A</v>
      </c>
      <c r="Y67" s="7" t="e">
        <f t="shared" si="14"/>
        <v>#N/A</v>
      </c>
      <c r="Z67" s="7" t="e">
        <f t="shared" si="15"/>
        <v>#N/A</v>
      </c>
      <c r="AA67" s="7" t="e">
        <f t="shared" si="16"/>
        <v>#N/A</v>
      </c>
      <c r="AB67" s="7" t="e">
        <f t="shared" si="17"/>
        <v>#N/A</v>
      </c>
      <c r="AM67" s="4"/>
      <c r="AN67" s="4"/>
    </row>
    <row r="68" spans="3:41" ht="12.75" customHeight="1">
      <c r="C68" s="151"/>
      <c r="D68" s="152"/>
      <c r="E68" s="7"/>
      <c r="F68" s="65"/>
      <c r="G68" s="66"/>
      <c r="H68" s="69" t="e">
        <f>VLOOKUP(F68,Sp_score_ref!$A$2:$C$1517,2,FALSE)</f>
        <v>#N/A</v>
      </c>
      <c r="I68" s="70" t="e">
        <f>VLOOKUP(F68,Sp_score_ref!$A$2:$C$1517,3,FALSE)</f>
        <v>#N/A</v>
      </c>
      <c r="J68" s="56"/>
      <c r="K68" s="7" t="e">
        <f t="shared" si="0"/>
        <v>#N/A</v>
      </c>
      <c r="L68" s="7" t="e">
        <f t="shared" si="1"/>
        <v>#N/A</v>
      </c>
      <c r="M68" s="7" t="e">
        <f t="shared" si="2"/>
        <v>#N/A</v>
      </c>
      <c r="N68" s="7" t="e">
        <f t="shared" si="3"/>
        <v>#N/A</v>
      </c>
      <c r="O68" s="7" t="e">
        <f t="shared" si="4"/>
        <v>#N/A</v>
      </c>
      <c r="P68" s="7" t="e">
        <f t="shared" si="5"/>
        <v>#N/A</v>
      </c>
      <c r="Q68" s="7" t="e">
        <f t="shared" si="6"/>
        <v>#N/A</v>
      </c>
      <c r="R68" s="7" t="e">
        <f t="shared" si="7"/>
        <v>#N/A</v>
      </c>
      <c r="S68" s="7" t="e">
        <f t="shared" si="8"/>
        <v>#N/A</v>
      </c>
      <c r="T68" s="7" t="e">
        <f t="shared" si="9"/>
        <v>#N/A</v>
      </c>
      <c r="U68" s="7" t="e">
        <f t="shared" si="10"/>
        <v>#N/A</v>
      </c>
      <c r="V68" s="7" t="e">
        <f t="shared" si="11"/>
        <v>#N/A</v>
      </c>
      <c r="W68" s="7" t="e">
        <f t="shared" si="12"/>
        <v>#N/A</v>
      </c>
      <c r="X68" s="7" t="e">
        <f t="shared" si="13"/>
        <v>#N/A</v>
      </c>
      <c r="Y68" s="7" t="e">
        <f t="shared" si="14"/>
        <v>#N/A</v>
      </c>
      <c r="Z68" s="7" t="e">
        <f t="shared" si="15"/>
        <v>#N/A</v>
      </c>
      <c r="AA68" s="7" t="e">
        <f t="shared" si="16"/>
        <v>#N/A</v>
      </c>
      <c r="AB68" s="7" t="e">
        <f t="shared" si="17"/>
        <v>#N/A</v>
      </c>
      <c r="AM68" s="4"/>
      <c r="AN68" s="4"/>
    </row>
    <row r="69" spans="3:41" ht="12.75" customHeight="1">
      <c r="C69" s="151"/>
      <c r="D69" s="152"/>
      <c r="E69" s="7"/>
      <c r="F69" s="65"/>
      <c r="G69" s="66"/>
      <c r="H69" s="69" t="e">
        <f>VLOOKUP(F69,Sp_score_ref!$A$2:$C$1517,2,FALSE)</f>
        <v>#N/A</v>
      </c>
      <c r="I69" s="70" t="e">
        <f>VLOOKUP(F69,Sp_score_ref!$A$2:$C$1517,3,FALSE)</f>
        <v>#N/A</v>
      </c>
      <c r="J69" s="56"/>
      <c r="K69" s="7" t="e">
        <f t="shared" si="0"/>
        <v>#N/A</v>
      </c>
      <c r="L69" s="7" t="e">
        <f t="shared" si="1"/>
        <v>#N/A</v>
      </c>
      <c r="M69" s="7" t="e">
        <f t="shared" si="2"/>
        <v>#N/A</v>
      </c>
      <c r="N69" s="7" t="e">
        <f t="shared" si="3"/>
        <v>#N/A</v>
      </c>
      <c r="O69" s="7" t="e">
        <f t="shared" si="4"/>
        <v>#N/A</v>
      </c>
      <c r="P69" s="7" t="e">
        <f t="shared" si="5"/>
        <v>#N/A</v>
      </c>
      <c r="Q69" s="7" t="e">
        <f t="shared" si="6"/>
        <v>#N/A</v>
      </c>
      <c r="R69" s="7" t="e">
        <f t="shared" si="7"/>
        <v>#N/A</v>
      </c>
      <c r="S69" s="7" t="e">
        <f t="shared" si="8"/>
        <v>#N/A</v>
      </c>
      <c r="T69" s="7" t="e">
        <f t="shared" si="9"/>
        <v>#N/A</v>
      </c>
      <c r="U69" s="7" t="e">
        <f t="shared" si="10"/>
        <v>#N/A</v>
      </c>
      <c r="V69" s="7" t="e">
        <f t="shared" si="11"/>
        <v>#N/A</v>
      </c>
      <c r="W69" s="7" t="e">
        <f t="shared" si="12"/>
        <v>#N/A</v>
      </c>
      <c r="X69" s="7" t="e">
        <f t="shared" si="13"/>
        <v>#N/A</v>
      </c>
      <c r="Y69" s="7" t="e">
        <f t="shared" si="14"/>
        <v>#N/A</v>
      </c>
      <c r="Z69" s="7" t="e">
        <f t="shared" si="15"/>
        <v>#N/A</v>
      </c>
      <c r="AA69" s="7" t="e">
        <f t="shared" si="16"/>
        <v>#N/A</v>
      </c>
      <c r="AB69" s="7" t="e">
        <f t="shared" si="17"/>
        <v>#N/A</v>
      </c>
      <c r="AM69" s="4"/>
      <c r="AN69" s="4"/>
    </row>
    <row r="70" spans="3:41" ht="13.5" customHeight="1" thickBot="1">
      <c r="C70" s="153"/>
      <c r="D70" s="154"/>
      <c r="E70" s="7"/>
      <c r="F70" s="12"/>
      <c r="G70" s="30"/>
      <c r="H70" s="57" t="e">
        <f>VLOOKUP(F70,Sp_score_ref!$A$2:$C$1517,2,FALSE)</f>
        <v>#N/A</v>
      </c>
      <c r="I70" s="37" t="e">
        <f>VLOOKUP(F70,Sp_score_ref!$A$2:$C$1517,3,FALSE)</f>
        <v>#N/A</v>
      </c>
      <c r="J70" s="56"/>
      <c r="K70" s="7" t="e">
        <f t="shared" si="0"/>
        <v>#N/A</v>
      </c>
      <c r="L70" s="7" t="e">
        <f t="shared" si="1"/>
        <v>#N/A</v>
      </c>
      <c r="M70" s="7" t="e">
        <f t="shared" si="2"/>
        <v>#N/A</v>
      </c>
      <c r="N70" s="7" t="e">
        <f t="shared" si="3"/>
        <v>#N/A</v>
      </c>
      <c r="O70" s="7" t="e">
        <f t="shared" si="4"/>
        <v>#N/A</v>
      </c>
      <c r="P70" s="7" t="e">
        <f t="shared" si="5"/>
        <v>#N/A</v>
      </c>
      <c r="Q70" s="7" t="e">
        <f t="shared" si="6"/>
        <v>#N/A</v>
      </c>
      <c r="R70" s="7" t="e">
        <f t="shared" si="7"/>
        <v>#N/A</v>
      </c>
      <c r="S70" s="7" t="e">
        <f t="shared" si="8"/>
        <v>#N/A</v>
      </c>
      <c r="T70" s="7" t="e">
        <f t="shared" si="9"/>
        <v>#N/A</v>
      </c>
      <c r="U70" s="7" t="e">
        <f t="shared" si="10"/>
        <v>#N/A</v>
      </c>
      <c r="V70" s="7" t="e">
        <f t="shared" si="11"/>
        <v>#N/A</v>
      </c>
      <c r="W70" s="7" t="e">
        <f t="shared" si="12"/>
        <v>#N/A</v>
      </c>
      <c r="X70" s="7" t="e">
        <f t="shared" si="13"/>
        <v>#N/A</v>
      </c>
      <c r="Y70" s="7" t="e">
        <f t="shared" si="14"/>
        <v>#N/A</v>
      </c>
      <c r="Z70" s="7" t="e">
        <f t="shared" si="15"/>
        <v>#N/A</v>
      </c>
      <c r="AA70" s="7" t="e">
        <f t="shared" si="16"/>
        <v>#N/A</v>
      </c>
      <c r="AB70" s="7" t="e">
        <f t="shared" si="17"/>
        <v>#N/A</v>
      </c>
      <c r="AM70" s="4"/>
      <c r="AN70" s="4"/>
    </row>
    <row r="71" spans="3:41" ht="13.8" thickBot="1">
      <c r="C71" s="1"/>
      <c r="D71" s="2"/>
      <c r="E71" s="7"/>
      <c r="F71" s="1"/>
      <c r="G71" s="6"/>
      <c r="I71" s="6"/>
      <c r="J71" s="6"/>
      <c r="K71" s="21">
        <f t="shared" ref="K71:S71" si="18">COUNT(K7:K70)</f>
        <v>0</v>
      </c>
      <c r="L71" s="21">
        <f t="shared" si="18"/>
        <v>0</v>
      </c>
      <c r="M71" s="21">
        <f t="shared" si="18"/>
        <v>0</v>
      </c>
      <c r="N71" s="21">
        <f t="shared" si="18"/>
        <v>0</v>
      </c>
      <c r="O71" s="21">
        <f t="shared" si="18"/>
        <v>0</v>
      </c>
      <c r="P71" s="21">
        <f t="shared" si="18"/>
        <v>0</v>
      </c>
      <c r="Q71" s="21">
        <f t="shared" si="18"/>
        <v>0</v>
      </c>
      <c r="R71" s="21">
        <f t="shared" si="18"/>
        <v>0</v>
      </c>
      <c r="S71" s="21">
        <f t="shared" si="18"/>
        <v>0</v>
      </c>
      <c r="T71" s="39">
        <f t="shared" ref="T71:AB71" si="19">COUNT(T7:T70)</f>
        <v>0</v>
      </c>
      <c r="U71" s="39">
        <f t="shared" si="19"/>
        <v>0</v>
      </c>
      <c r="V71" s="39">
        <f t="shared" si="19"/>
        <v>0</v>
      </c>
      <c r="W71" s="39">
        <f t="shared" si="19"/>
        <v>0</v>
      </c>
      <c r="X71" s="39">
        <f t="shared" si="19"/>
        <v>0</v>
      </c>
      <c r="Y71" s="39">
        <f t="shared" si="19"/>
        <v>0</v>
      </c>
      <c r="Z71" s="39">
        <f t="shared" si="19"/>
        <v>0</v>
      </c>
      <c r="AA71" s="39">
        <f t="shared" si="19"/>
        <v>0</v>
      </c>
      <c r="AB71" s="39">
        <f t="shared" si="19"/>
        <v>0</v>
      </c>
      <c r="AM71" s="4"/>
      <c r="AN71" s="4"/>
    </row>
    <row r="72" spans="3:41" ht="40.200000000000003" hidden="1" thickBot="1">
      <c r="C72" s="1"/>
      <c r="D72" s="2"/>
      <c r="E72" s="7"/>
      <c r="F72" s="1"/>
      <c r="G72" s="6"/>
      <c r="I72" s="6"/>
      <c r="J72" s="6"/>
      <c r="K72" s="20" t="s">
        <v>14</v>
      </c>
      <c r="L72" s="20" t="s">
        <v>15</v>
      </c>
      <c r="M72" s="20" t="s">
        <v>16</v>
      </c>
      <c r="N72" s="20" t="s">
        <v>17</v>
      </c>
      <c r="O72" s="20" t="s">
        <v>69</v>
      </c>
      <c r="P72" s="20" t="s">
        <v>70</v>
      </c>
      <c r="Q72" s="20" t="s">
        <v>20</v>
      </c>
      <c r="R72" s="20" t="s">
        <v>18</v>
      </c>
      <c r="S72" s="20" t="s">
        <v>19</v>
      </c>
      <c r="T72" s="20" t="s">
        <v>71</v>
      </c>
      <c r="U72" s="20" t="s">
        <v>72</v>
      </c>
      <c r="V72" s="20" t="s">
        <v>73</v>
      </c>
      <c r="W72" s="20" t="s">
        <v>74</v>
      </c>
      <c r="X72" s="20" t="s">
        <v>75</v>
      </c>
      <c r="Y72" s="20" t="s">
        <v>76</v>
      </c>
      <c r="Z72" s="20" t="s">
        <v>77</v>
      </c>
      <c r="AA72" s="20" t="s">
        <v>78</v>
      </c>
      <c r="AB72" s="20" t="s">
        <v>79</v>
      </c>
      <c r="AM72" s="4"/>
      <c r="AN72" s="4"/>
    </row>
    <row r="73" spans="3:41" hidden="1">
      <c r="C73" s="1"/>
      <c r="D73" s="2"/>
      <c r="E73" s="7"/>
      <c r="F73" s="1"/>
      <c r="G73" s="6"/>
      <c r="I73" s="6"/>
      <c r="J73" s="6"/>
      <c r="K73" s="6"/>
      <c r="L73" s="6"/>
      <c r="M73" s="6"/>
      <c r="N73" s="6"/>
      <c r="O73" s="6"/>
      <c r="P73" s="6"/>
      <c r="Q73" s="6"/>
      <c r="R73" s="6"/>
      <c r="S73" s="6"/>
      <c r="T73" s="6"/>
      <c r="U73" s="6"/>
      <c r="V73" s="6"/>
      <c r="W73" s="6"/>
      <c r="X73" s="6"/>
      <c r="Y73" s="6"/>
      <c r="Z73" s="6"/>
      <c r="AA73" s="6"/>
      <c r="AB73" s="6"/>
      <c r="AM73" s="4"/>
      <c r="AN73" s="4"/>
      <c r="AO73" s="4"/>
    </row>
    <row r="74" spans="3:41" hidden="1">
      <c r="C74" s="1"/>
      <c r="D74" s="2"/>
      <c r="E74" s="7"/>
      <c r="F74" s="1"/>
      <c r="G74" s="6"/>
      <c r="I74" s="6"/>
      <c r="J74" s="6"/>
      <c r="K74" s="6"/>
      <c r="L74" s="6"/>
      <c r="M74" s="6"/>
      <c r="N74" s="6"/>
      <c r="O74" s="6"/>
      <c r="P74" s="6"/>
      <c r="Q74" s="6"/>
      <c r="R74" s="6"/>
      <c r="S74" s="6"/>
      <c r="T74" s="6"/>
      <c r="U74" s="6"/>
      <c r="V74" s="6"/>
      <c r="W74" s="6"/>
      <c r="X74" s="6"/>
      <c r="Y74" s="6"/>
      <c r="Z74" s="6"/>
      <c r="AA74" s="6"/>
      <c r="AB74" s="6"/>
      <c r="AM74" s="4"/>
      <c r="AN74" s="4"/>
      <c r="AO74" s="4"/>
    </row>
    <row r="75" spans="3:41" ht="13.8" thickBot="1">
      <c r="C75" s="1"/>
      <c r="D75" s="2"/>
      <c r="E75" s="18"/>
      <c r="F75" s="1"/>
      <c r="G75" s="6"/>
      <c r="I75" s="6"/>
      <c r="J75" s="6"/>
      <c r="K75" s="6"/>
      <c r="L75" s="6"/>
      <c r="M75" s="6"/>
      <c r="N75" s="6"/>
      <c r="O75" s="6"/>
      <c r="P75" s="6"/>
      <c r="Q75" s="6"/>
      <c r="R75" s="6"/>
      <c r="S75" s="6"/>
      <c r="T75" s="6"/>
      <c r="U75" s="6"/>
      <c r="V75" s="6"/>
      <c r="W75" s="6"/>
      <c r="X75" s="6"/>
      <c r="Y75" s="6"/>
      <c r="Z75" s="6"/>
      <c r="AA75" s="6"/>
      <c r="AB75" s="6"/>
      <c r="AM75" s="4"/>
      <c r="AN75" s="4"/>
      <c r="AO75" s="4"/>
    </row>
    <row r="76" spans="3:41" ht="22.35" customHeight="1" thickBot="1">
      <c r="C76" s="106" t="s">
        <v>80</v>
      </c>
      <c r="D76" s="107"/>
      <c r="E76" s="107"/>
      <c r="F76" s="107"/>
      <c r="G76" s="107"/>
      <c r="H76" s="107"/>
      <c r="I76" s="108"/>
      <c r="J76" s="6"/>
      <c r="K76" s="6"/>
      <c r="L76" s="6"/>
      <c r="M76" s="6"/>
      <c r="N76" s="6"/>
      <c r="O76" s="6"/>
      <c r="P76" s="6"/>
      <c r="Q76" s="6"/>
      <c r="R76" s="6"/>
      <c r="S76" s="6"/>
      <c r="T76" s="6"/>
      <c r="U76" s="6"/>
      <c r="V76" s="6"/>
      <c r="W76" s="6"/>
      <c r="X76" s="6"/>
      <c r="Y76" s="6"/>
      <c r="Z76" s="6"/>
      <c r="AA76" s="6"/>
      <c r="AB76" s="6"/>
      <c r="AM76" s="4"/>
      <c r="AN76" s="4"/>
      <c r="AO76" s="4"/>
    </row>
    <row r="77" spans="3:41" ht="13.8" thickBot="1">
      <c r="C77" s="1"/>
      <c r="D77" s="2"/>
      <c r="E77" s="7"/>
      <c r="F77" s="1"/>
      <c r="G77" s="6"/>
      <c r="I77" s="6"/>
      <c r="J77" s="6"/>
      <c r="K77" s="6"/>
      <c r="L77" s="6"/>
      <c r="M77" s="6"/>
      <c r="N77" s="6"/>
      <c r="O77" s="6"/>
      <c r="P77" s="6"/>
      <c r="Q77" s="6"/>
      <c r="R77" s="6"/>
      <c r="S77" s="6"/>
      <c r="T77" s="6"/>
      <c r="U77" s="6"/>
      <c r="V77" s="6"/>
      <c r="W77" s="6"/>
      <c r="X77" s="6"/>
      <c r="Y77" s="6"/>
      <c r="Z77" s="6"/>
      <c r="AA77" s="6"/>
      <c r="AB77" s="6"/>
      <c r="AM77" s="4"/>
      <c r="AN77" s="4"/>
      <c r="AO77" s="4"/>
    </row>
    <row r="78" spans="3:41" ht="35.700000000000003" customHeight="1" thickBot="1">
      <c r="C78" s="111" t="s">
        <v>81</v>
      </c>
      <c r="D78" s="112"/>
      <c r="E78" s="112"/>
      <c r="F78" s="112"/>
      <c r="G78" s="112"/>
      <c r="H78" s="113"/>
      <c r="I78" s="16"/>
      <c r="K78" s="6"/>
      <c r="L78" s="25" t="s">
        <v>82</v>
      </c>
      <c r="M78" s="26">
        <v>1</v>
      </c>
      <c r="N78" s="26">
        <v>2</v>
      </c>
      <c r="O78" s="27" t="s">
        <v>83</v>
      </c>
      <c r="Q78" s="6"/>
      <c r="R78" s="6"/>
      <c r="S78" s="6"/>
      <c r="T78" s="6"/>
      <c r="U78" s="40" t="s">
        <v>82</v>
      </c>
      <c r="V78" s="26">
        <v>1</v>
      </c>
      <c r="W78" s="26">
        <v>2</v>
      </c>
      <c r="X78" s="27" t="s">
        <v>83</v>
      </c>
      <c r="Z78" s="6"/>
      <c r="AA78" s="6"/>
      <c r="AB78" s="6"/>
      <c r="AM78" s="4"/>
      <c r="AN78" s="4"/>
      <c r="AO78" s="4"/>
    </row>
    <row r="79" spans="3:41" ht="13.8" thickBot="1">
      <c r="C79" s="17"/>
      <c r="D79" s="18"/>
      <c r="E79" s="18"/>
      <c r="F79" s="17"/>
      <c r="G79" s="17"/>
      <c r="H79" s="19"/>
      <c r="I79" s="6"/>
      <c r="K79" s="6"/>
      <c r="L79" s="28" t="s">
        <v>84</v>
      </c>
      <c r="M79" s="31">
        <v>0.1</v>
      </c>
      <c r="N79" s="31">
        <v>0.12</v>
      </c>
      <c r="O79" s="32">
        <v>0.30000000000000004</v>
      </c>
      <c r="Q79" s="6"/>
      <c r="R79" s="6"/>
      <c r="S79" s="6"/>
      <c r="T79" s="6"/>
      <c r="U79" s="28" t="s">
        <v>85</v>
      </c>
      <c r="V79" s="31">
        <v>0.1</v>
      </c>
      <c r="W79" s="31">
        <v>0.12</v>
      </c>
      <c r="X79" s="32">
        <v>0.30000000000000004</v>
      </c>
      <c r="Z79" s="6"/>
      <c r="AA79" s="6"/>
      <c r="AB79" s="6"/>
      <c r="AM79" s="4"/>
      <c r="AN79" s="4"/>
      <c r="AO79" s="4"/>
    </row>
    <row r="80" spans="3:41" ht="35.700000000000003" customHeight="1" thickBot="1">
      <c r="C80" s="111" t="s">
        <v>86</v>
      </c>
      <c r="D80" s="112"/>
      <c r="E80" s="112"/>
      <c r="F80" s="112"/>
      <c r="G80" s="112"/>
      <c r="H80" s="113"/>
      <c r="I80" s="16"/>
      <c r="K80" s="6"/>
      <c r="L80" s="28" t="s">
        <v>87</v>
      </c>
      <c r="M80" s="31">
        <v>0.33333333333333337</v>
      </c>
      <c r="N80" s="31">
        <v>0.4</v>
      </c>
      <c r="O80" s="32">
        <v>1</v>
      </c>
      <c r="Q80" s="6"/>
      <c r="R80" s="6"/>
      <c r="S80" s="6"/>
      <c r="T80" s="6"/>
      <c r="U80" s="28" t="s">
        <v>88</v>
      </c>
      <c r="V80" s="31">
        <v>0.33333333333333337</v>
      </c>
      <c r="W80" s="31">
        <v>0.4</v>
      </c>
      <c r="X80" s="32">
        <v>1</v>
      </c>
      <c r="Z80" s="6"/>
      <c r="AA80" s="6"/>
      <c r="AB80" s="6"/>
      <c r="AM80" s="4"/>
      <c r="AN80" s="4"/>
      <c r="AO80" s="4"/>
    </row>
    <row r="81" spans="3:41" ht="13.8" thickBot="1">
      <c r="C81" s="17"/>
      <c r="D81" s="18"/>
      <c r="E81" s="18"/>
      <c r="F81" s="17"/>
      <c r="G81" s="17"/>
      <c r="H81" s="19"/>
      <c r="I81" s="6"/>
      <c r="J81" s="6"/>
      <c r="K81" s="6"/>
      <c r="L81" s="29" t="s">
        <v>89</v>
      </c>
      <c r="M81" s="33">
        <v>1.1100000000000001</v>
      </c>
      <c r="N81" s="33">
        <v>1.33</v>
      </c>
      <c r="O81" s="34">
        <v>3.33</v>
      </c>
      <c r="Q81" s="6"/>
      <c r="R81" s="6"/>
      <c r="S81" s="6"/>
      <c r="T81" s="6"/>
      <c r="U81" s="29" t="s">
        <v>90</v>
      </c>
      <c r="V81" s="33">
        <v>1.1100000000000001</v>
      </c>
      <c r="W81" s="33">
        <v>1.33</v>
      </c>
      <c r="X81" s="34">
        <v>3.33</v>
      </c>
      <c r="Z81" s="6"/>
      <c r="AA81" s="6"/>
      <c r="AB81" s="6"/>
      <c r="AM81" s="4"/>
      <c r="AN81" s="4"/>
      <c r="AO81" s="4"/>
    </row>
    <row r="82" spans="3:41" ht="60" customHeight="1" thickBot="1">
      <c r="C82" s="111" t="s">
        <v>91</v>
      </c>
      <c r="D82" s="112"/>
      <c r="E82" s="112"/>
      <c r="F82" s="112"/>
      <c r="G82" s="112"/>
      <c r="H82" s="113"/>
      <c r="I82" s="16"/>
      <c r="J82"/>
      <c r="K82"/>
      <c r="L82" s="6"/>
      <c r="M82" s="6"/>
      <c r="N82" s="6"/>
      <c r="O82" s="6"/>
      <c r="P82" s="6"/>
      <c r="Q82" s="6"/>
      <c r="R82" s="6"/>
      <c r="S82" s="6"/>
      <c r="T82" s="6"/>
      <c r="U82" s="6"/>
      <c r="V82" s="6"/>
      <c r="W82" s="6"/>
      <c r="X82" s="6"/>
      <c r="Y82" s="6"/>
      <c r="Z82" s="6"/>
      <c r="AA82" s="6"/>
      <c r="AB82" s="6"/>
      <c r="AM82" s="4"/>
      <c r="AN82" s="4"/>
      <c r="AO82" s="4"/>
    </row>
    <row r="83" spans="3:41" ht="13.8" thickBot="1">
      <c r="C83" s="17"/>
      <c r="D83" s="18"/>
      <c r="E83" s="18"/>
      <c r="F83" s="17"/>
      <c r="G83" s="17"/>
      <c r="H83" s="19"/>
      <c r="I83" s="6"/>
      <c r="J83" s="6"/>
      <c r="K83" s="6"/>
      <c r="L83" s="6"/>
      <c r="M83" s="6"/>
      <c r="N83" s="6"/>
      <c r="O83" s="6"/>
      <c r="P83" s="6"/>
      <c r="Q83" s="6"/>
      <c r="R83" s="6"/>
      <c r="S83" s="6"/>
      <c r="T83" s="6"/>
      <c r="U83" s="6"/>
      <c r="V83" s="6"/>
      <c r="W83" s="6"/>
      <c r="X83" s="6"/>
      <c r="Y83" s="6"/>
      <c r="Z83" s="6"/>
      <c r="AA83" s="6"/>
      <c r="AB83" s="6"/>
      <c r="AM83" s="4"/>
      <c r="AN83" s="4"/>
      <c r="AO83" s="4"/>
    </row>
    <row r="84" spans="3:41" ht="56.7" hidden="1" customHeight="1" thickBot="1">
      <c r="K84" s="6"/>
      <c r="L84" s="6"/>
      <c r="M84" s="6"/>
      <c r="N84" s="6"/>
      <c r="O84" s="6"/>
      <c r="P84" s="6"/>
      <c r="Q84" s="6"/>
      <c r="R84" s="6"/>
      <c r="S84" s="6"/>
      <c r="T84" s="6"/>
      <c r="U84" s="6"/>
      <c r="V84" s="6"/>
      <c r="W84" s="6"/>
      <c r="X84" s="6"/>
      <c r="Y84" s="6"/>
      <c r="Z84" s="6"/>
      <c r="AA84" s="6"/>
      <c r="AB84" s="6"/>
      <c r="AM84" s="4"/>
      <c r="AN84" s="4"/>
      <c r="AO84" s="4"/>
    </row>
    <row r="85" spans="3:41" ht="13.8" hidden="1" thickBot="1">
      <c r="C85" s="1"/>
      <c r="D85" s="2"/>
      <c r="E85" s="7"/>
      <c r="F85" s="1"/>
      <c r="G85" s="6"/>
      <c r="I85" s="6"/>
      <c r="J85" s="6"/>
      <c r="K85" s="6"/>
      <c r="L85" s="21">
        <f>(K71-L71)</f>
        <v>0</v>
      </c>
      <c r="M85" s="21">
        <f>(K71-M71)</f>
        <v>0</v>
      </c>
      <c r="N85" s="6"/>
      <c r="O85" s="21">
        <f>(N71-O71)</f>
        <v>0</v>
      </c>
      <c r="P85" s="21">
        <f>(N71-P71)</f>
        <v>0</v>
      </c>
      <c r="Q85" s="6"/>
      <c r="R85" s="21">
        <f>(Q71-R71)</f>
        <v>0</v>
      </c>
      <c r="S85" s="21">
        <f>(Q71-S71)</f>
        <v>0</v>
      </c>
      <c r="T85" s="6"/>
      <c r="U85" s="21">
        <f>(T71-U71)</f>
        <v>0</v>
      </c>
      <c r="V85" s="21">
        <f>(T71-V71)</f>
        <v>0</v>
      </c>
      <c r="W85" s="6"/>
      <c r="X85" s="21">
        <f>(W71-X71)</f>
        <v>0</v>
      </c>
      <c r="Y85" s="21">
        <f>(W71-Y71)</f>
        <v>0</v>
      </c>
      <c r="Z85" s="6"/>
      <c r="AA85" s="21">
        <f>(Z71-AA71)</f>
        <v>0</v>
      </c>
      <c r="AB85" s="21">
        <f>(Z71-AB71)</f>
        <v>0</v>
      </c>
      <c r="AM85" s="4"/>
      <c r="AN85" s="4"/>
      <c r="AO85" s="4"/>
    </row>
    <row r="86" spans="3:41" ht="37.950000000000003" customHeight="1" thickBot="1">
      <c r="C86" s="147" t="s">
        <v>92</v>
      </c>
      <c r="D86" s="148"/>
      <c r="K86" s="21">
        <f>(K71-L85-M85)*O81</f>
        <v>0</v>
      </c>
      <c r="L86" s="22">
        <f>L85*N81</f>
        <v>0</v>
      </c>
      <c r="M86" s="22">
        <f>M85*M81</f>
        <v>0</v>
      </c>
      <c r="N86" s="21">
        <f>(N71-O85-P85)*O80</f>
        <v>0</v>
      </c>
      <c r="O86" s="22">
        <f>O85*N80</f>
        <v>0</v>
      </c>
      <c r="P86" s="22">
        <f>P85*M80</f>
        <v>0</v>
      </c>
      <c r="Q86" s="21">
        <f>(Q71-R85-S85)*O79</f>
        <v>0</v>
      </c>
      <c r="R86" s="22">
        <f>R85*N79</f>
        <v>0</v>
      </c>
      <c r="S86" s="22">
        <f>S85*M79</f>
        <v>0</v>
      </c>
      <c r="T86" s="21">
        <f>(T71-U85-V85)*X81</f>
        <v>0</v>
      </c>
      <c r="U86" s="22">
        <f>U85*W81</f>
        <v>0</v>
      </c>
      <c r="V86" s="22">
        <f>V85*V81</f>
        <v>0</v>
      </c>
      <c r="W86" s="21">
        <f>(W71-X85-Y85)*X80</f>
        <v>0</v>
      </c>
      <c r="X86" s="22">
        <f>X85*W80</f>
        <v>0</v>
      </c>
      <c r="Y86" s="22">
        <f>Y85*V80</f>
        <v>0</v>
      </c>
      <c r="Z86" s="21">
        <f>(Z71-AA85-AB85)*X79</f>
        <v>0</v>
      </c>
      <c r="AA86" s="22">
        <f>AA85*W79</f>
        <v>0</v>
      </c>
      <c r="AB86" s="22">
        <f>AB85*V79</f>
        <v>0</v>
      </c>
      <c r="AM86" s="4"/>
      <c r="AN86" s="4"/>
      <c r="AO86" s="4"/>
    </row>
    <row r="87" spans="3:41" ht="50.4" customHeight="1" thickBot="1">
      <c r="C87" s="87" t="s">
        <v>93</v>
      </c>
      <c r="D87" s="86">
        <f>SUM(K86+M86+L86+N86+O86+P86+Q86+R86+S86+I78+I80+I82)</f>
        <v>0</v>
      </c>
      <c r="K87" s="117" t="s">
        <v>94</v>
      </c>
      <c r="L87" s="117" t="s">
        <v>95</v>
      </c>
      <c r="M87" s="117" t="s">
        <v>96</v>
      </c>
      <c r="N87" s="117" t="s">
        <v>97</v>
      </c>
      <c r="O87" s="117" t="s">
        <v>98</v>
      </c>
      <c r="P87" s="117" t="s">
        <v>99</v>
      </c>
      <c r="Q87" s="117" t="s">
        <v>100</v>
      </c>
      <c r="R87" s="117" t="s">
        <v>101</v>
      </c>
      <c r="S87" s="117" t="s">
        <v>102</v>
      </c>
      <c r="T87" s="143" t="s">
        <v>23</v>
      </c>
      <c r="U87" s="143" t="s">
        <v>24</v>
      </c>
      <c r="V87" s="143" t="s">
        <v>25</v>
      </c>
      <c r="W87" s="143" t="s">
        <v>26</v>
      </c>
      <c r="X87" s="143" t="s">
        <v>27</v>
      </c>
      <c r="Y87" s="143" t="s">
        <v>28</v>
      </c>
      <c r="Z87" s="143" t="s">
        <v>103</v>
      </c>
      <c r="AA87" s="143" t="s">
        <v>104</v>
      </c>
      <c r="AB87" s="143" t="s">
        <v>105</v>
      </c>
      <c r="AM87" s="4"/>
      <c r="AN87" s="4"/>
      <c r="AO87" s="4"/>
    </row>
    <row r="88" spans="3:41" ht="37.950000000000003" customHeight="1" thickBot="1">
      <c r="E88"/>
      <c r="H88" s="98" t="s">
        <v>106</v>
      </c>
      <c r="I88" s="99"/>
      <c r="K88" s="118"/>
      <c r="L88" s="118"/>
      <c r="M88" s="118"/>
      <c r="N88" s="118"/>
      <c r="O88" s="118"/>
      <c r="P88" s="118"/>
      <c r="Q88" s="118"/>
      <c r="R88" s="118"/>
      <c r="S88" s="118"/>
      <c r="T88" s="144"/>
      <c r="U88" s="144"/>
      <c r="V88" s="144"/>
      <c r="W88" s="144"/>
      <c r="X88" s="144"/>
      <c r="Y88" s="144"/>
      <c r="Z88" s="144"/>
      <c r="AA88" s="144"/>
      <c r="AB88" s="144"/>
      <c r="AM88" s="4"/>
      <c r="AN88" s="4"/>
      <c r="AO88" s="4"/>
    </row>
    <row r="89" spans="3:41" ht="37.950000000000003" customHeight="1" thickBot="1">
      <c r="C89" s="98" t="s">
        <v>107</v>
      </c>
      <c r="D89" s="99"/>
      <c r="E89" s="3"/>
      <c r="H89" s="71" t="s">
        <v>108</v>
      </c>
      <c r="I89" s="72">
        <f>K71</f>
        <v>0</v>
      </c>
      <c r="P89" s="6"/>
      <c r="T89" s="4"/>
      <c r="U89" s="4"/>
      <c r="W89"/>
      <c r="X89"/>
      <c r="AM89" s="4"/>
      <c r="AN89" s="4"/>
    </row>
    <row r="90" spans="3:41" ht="38.4" customHeight="1" thickTop="1" thickBot="1">
      <c r="C90" s="71" t="s">
        <v>109</v>
      </c>
      <c r="D90" s="72">
        <f>T71+W71+Z71</f>
        <v>0</v>
      </c>
      <c r="E90" s="3"/>
      <c r="H90" s="73" t="s">
        <v>110</v>
      </c>
      <c r="I90" s="74">
        <f>N71</f>
        <v>0</v>
      </c>
      <c r="T90" s="4"/>
      <c r="W90"/>
      <c r="AM90" s="4"/>
    </row>
    <row r="91" spans="3:41" ht="38.4" customHeight="1" thickTop="1" thickBot="1">
      <c r="C91" s="76" t="s">
        <v>111</v>
      </c>
      <c r="D91" s="74">
        <f>T71</f>
        <v>0</v>
      </c>
      <c r="H91" s="73" t="s">
        <v>112</v>
      </c>
      <c r="I91" s="74">
        <f>Q71</f>
        <v>0</v>
      </c>
      <c r="T91" s="4"/>
      <c r="W91"/>
      <c r="AM91" s="4"/>
    </row>
    <row r="92" spans="3:41" ht="38.4" customHeight="1" thickTop="1" thickBot="1">
      <c r="C92" s="75" t="s">
        <v>113</v>
      </c>
      <c r="D92" s="77">
        <f>T86+U86+V86+W86+X86+Y86+Z86+AA86+AB86</f>
        <v>0</v>
      </c>
      <c r="E92"/>
      <c r="H92" s="75" t="s">
        <v>114</v>
      </c>
      <c r="I92" s="97">
        <f>I91+I90+I89</f>
        <v>0</v>
      </c>
      <c r="T92" s="4"/>
      <c r="W92"/>
      <c r="AM92" s="4"/>
    </row>
    <row r="93" spans="3:41" ht="37.950000000000003" customHeight="1">
      <c r="E93"/>
      <c r="T93" s="4"/>
      <c r="W93"/>
      <c r="AM93" s="4"/>
    </row>
    <row r="94" spans="3:41" ht="37.950000000000003" customHeight="1">
      <c r="E94"/>
      <c r="T94" s="4"/>
      <c r="W94"/>
      <c r="AM94" s="4"/>
    </row>
    <row r="95" spans="3:41" ht="23.7" customHeight="1">
      <c r="E95"/>
    </row>
    <row r="96" spans="3:41" ht="17.7" customHeight="1">
      <c r="E96"/>
    </row>
    <row r="98" spans="1:36">
      <c r="A98" s="46" t="s">
        <v>115</v>
      </c>
      <c r="B98" s="46" t="s">
        <v>115</v>
      </c>
      <c r="C98" s="46" t="s">
        <v>115</v>
      </c>
      <c r="D98" s="46" t="s">
        <v>115</v>
      </c>
      <c r="E98" s="47" t="s">
        <v>115</v>
      </c>
      <c r="F98" s="46" t="s">
        <v>115</v>
      </c>
      <c r="G98" s="47" t="s">
        <v>115</v>
      </c>
      <c r="H98" s="46" t="s">
        <v>115</v>
      </c>
      <c r="I98" s="47" t="s">
        <v>115</v>
      </c>
      <c r="J98" s="46"/>
      <c r="K98" s="46"/>
      <c r="L98" s="46"/>
      <c r="M98" s="46"/>
      <c r="N98" s="46"/>
      <c r="O98" s="46"/>
      <c r="P98" s="46"/>
      <c r="Q98" s="46"/>
      <c r="R98" s="46"/>
      <c r="S98" s="46"/>
      <c r="T98" s="46"/>
      <c r="U98" s="46"/>
      <c r="V98" s="46"/>
      <c r="W98" s="46"/>
      <c r="X98" s="46"/>
      <c r="Y98" s="46"/>
      <c r="Z98" s="46"/>
      <c r="AA98" s="46"/>
      <c r="AB98" s="46"/>
      <c r="AC98" s="46" t="s">
        <v>115</v>
      </c>
      <c r="AD98" s="46" t="s">
        <v>115</v>
      </c>
      <c r="AE98" s="46" t="s">
        <v>115</v>
      </c>
      <c r="AF98" s="46" t="s">
        <v>115</v>
      </c>
      <c r="AG98" s="46" t="s">
        <v>115</v>
      </c>
      <c r="AH98" s="46" t="s">
        <v>115</v>
      </c>
      <c r="AI98" s="46" t="s">
        <v>115</v>
      </c>
      <c r="AJ98" s="46" t="s">
        <v>115</v>
      </c>
    </row>
    <row r="102" spans="1:36">
      <c r="I102"/>
      <c r="J102" s="8"/>
      <c r="K102"/>
    </row>
    <row r="108" spans="1:36" ht="15">
      <c r="I108" s="13"/>
      <c r="J108" s="14"/>
      <c r="K108"/>
    </row>
    <row r="109" spans="1:36" ht="15.6">
      <c r="I109" s="13"/>
      <c r="J109" s="15"/>
      <c r="K109"/>
    </row>
  </sheetData>
  <mergeCells count="38">
    <mergeCell ref="L87:L88"/>
    <mergeCell ref="C78:H78"/>
    <mergeCell ref="C31:D31"/>
    <mergeCell ref="C41:D42"/>
    <mergeCell ref="K87:K88"/>
    <mergeCell ref="C86:D86"/>
    <mergeCell ref="C82:H82"/>
    <mergeCell ref="C46:D47"/>
    <mergeCell ref="C65:D70"/>
    <mergeCell ref="AB87:AB88"/>
    <mergeCell ref="X87:X88"/>
    <mergeCell ref="Y87:Y88"/>
    <mergeCell ref="O87:O88"/>
    <mergeCell ref="R87:R88"/>
    <mergeCell ref="T87:T88"/>
    <mergeCell ref="U87:U88"/>
    <mergeCell ref="V87:V88"/>
    <mergeCell ref="Q87:Q88"/>
    <mergeCell ref="Z87:Z88"/>
    <mergeCell ref="AA87:AA88"/>
    <mergeCell ref="W87:W88"/>
    <mergeCell ref="S87:S88"/>
    <mergeCell ref="C89:D89"/>
    <mergeCell ref="C2:AC2"/>
    <mergeCell ref="I4:AD4"/>
    <mergeCell ref="C76:I76"/>
    <mergeCell ref="F4:G4"/>
    <mergeCell ref="C80:H80"/>
    <mergeCell ref="B13:D13"/>
    <mergeCell ref="M87:M88"/>
    <mergeCell ref="N87:N88"/>
    <mergeCell ref="P87:P88"/>
    <mergeCell ref="B28:D29"/>
    <mergeCell ref="C8:D8"/>
    <mergeCell ref="H88:I88"/>
    <mergeCell ref="C43:D44"/>
    <mergeCell ref="B22:D23"/>
    <mergeCell ref="B25:D26"/>
  </mergeCells>
  <phoneticPr fontId="1"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dimension ref="A1:M1518"/>
  <sheetViews>
    <sheetView zoomScale="75" zoomScaleNormal="75" workbookViewId="0">
      <pane xSplit="1" ySplit="1" topLeftCell="B2" activePane="bottomRight" state="frozen"/>
      <selection pane="topRight" activeCell="C1" sqref="C1"/>
      <selection pane="bottomLeft" activeCell="A2" sqref="A2"/>
      <selection pane="bottomRight" activeCell="K1" sqref="K1:K1048576"/>
    </sheetView>
  </sheetViews>
  <sheetFormatPr defaultColWidth="9.33203125" defaultRowHeight="13.2"/>
  <cols>
    <col min="1" max="1" width="21.88671875" style="2" customWidth="1"/>
    <col min="2" max="2" width="54.5546875" style="2" customWidth="1"/>
    <col min="3" max="3" width="12.6640625" style="7" customWidth="1"/>
    <col min="4" max="4" width="48.33203125" style="7" customWidth="1"/>
    <col min="5" max="5" width="2.5546875" style="2" customWidth="1"/>
    <col min="6" max="6" width="3" style="2" customWidth="1"/>
    <col min="7" max="7" width="59.44140625" style="2" customWidth="1"/>
    <col min="8" max="8" width="18.44140625" style="2" customWidth="1"/>
    <col min="9" max="9" width="40.44140625" style="2" customWidth="1"/>
    <col min="10" max="10" width="15.44140625" style="2" customWidth="1"/>
    <col min="11" max="11" width="9.6640625" style="7" customWidth="1"/>
    <col min="12" max="13" width="9.33203125" style="7" customWidth="1"/>
    <col min="14" max="16384" width="9.33203125" style="2"/>
  </cols>
  <sheetData>
    <row r="1" spans="1:9" ht="115.8" customHeight="1" thickBot="1">
      <c r="A1" s="45" t="s">
        <v>3167</v>
      </c>
      <c r="B1" s="45" t="s">
        <v>116</v>
      </c>
      <c r="C1" s="45" t="s">
        <v>117</v>
      </c>
      <c r="D1" s="52" t="s">
        <v>3166</v>
      </c>
      <c r="F1" s="161" t="s">
        <v>118</v>
      </c>
      <c r="G1" s="162"/>
      <c r="H1" s="162"/>
      <c r="I1" s="163"/>
    </row>
    <row r="2" spans="1:9" ht="15" thickBot="1">
      <c r="A2" s="53" t="s">
        <v>119</v>
      </c>
      <c r="B2" s="53" t="s">
        <v>120</v>
      </c>
      <c r="C2" s="54" t="s">
        <v>89</v>
      </c>
      <c r="D2" s="53" t="s">
        <v>121</v>
      </c>
      <c r="F2" s="90"/>
      <c r="G2" s="90"/>
      <c r="H2" s="90"/>
      <c r="I2" s="90"/>
    </row>
    <row r="3" spans="1:9" ht="15" thickBot="1">
      <c r="A3" s="53" t="s">
        <v>122</v>
      </c>
      <c r="B3" s="53" t="s">
        <v>123</v>
      </c>
      <c r="C3" s="54" t="s">
        <v>89</v>
      </c>
      <c r="D3" s="53" t="s">
        <v>121</v>
      </c>
      <c r="F3" s="166" t="s">
        <v>124</v>
      </c>
      <c r="G3" s="167"/>
      <c r="H3" s="167"/>
      <c r="I3" s="168"/>
    </row>
    <row r="4" spans="1:9" ht="14.4">
      <c r="A4" s="53" t="s">
        <v>125</v>
      </c>
      <c r="B4" s="53" t="s">
        <v>126</v>
      </c>
      <c r="C4" s="54" t="s">
        <v>89</v>
      </c>
      <c r="D4" s="53" t="str">
        <f>D40</f>
        <v>Sensitive pea (Fabaceae)</v>
      </c>
      <c r="F4" s="89" t="s">
        <v>127</v>
      </c>
      <c r="G4" s="164" t="s">
        <v>3162</v>
      </c>
      <c r="H4" s="164"/>
      <c r="I4" s="165"/>
    </row>
    <row r="5" spans="1:9" ht="13.35" customHeight="1">
      <c r="A5" s="53" t="s">
        <v>128</v>
      </c>
      <c r="B5" s="53" t="s">
        <v>129</v>
      </c>
      <c r="C5" s="54" t="s">
        <v>89</v>
      </c>
      <c r="D5" s="53" t="s">
        <v>130</v>
      </c>
      <c r="F5" s="50"/>
      <c r="G5" s="155" t="s">
        <v>3090</v>
      </c>
      <c r="H5" s="155"/>
      <c r="I5" s="156"/>
    </row>
    <row r="6" spans="1:9" ht="13.35" customHeight="1">
      <c r="A6" s="53" t="s">
        <v>3068</v>
      </c>
      <c r="B6" s="53" t="s">
        <v>3069</v>
      </c>
      <c r="C6" s="54" t="s">
        <v>88</v>
      </c>
      <c r="D6" s="53"/>
      <c r="F6" s="48"/>
      <c r="G6" s="155"/>
      <c r="H6" s="155"/>
      <c r="I6" s="156"/>
    </row>
    <row r="7" spans="1:9" ht="14.4">
      <c r="A7" s="53" t="s">
        <v>3066</v>
      </c>
      <c r="B7" s="53" t="s">
        <v>3067</v>
      </c>
      <c r="C7" s="54" t="s">
        <v>89</v>
      </c>
      <c r="D7" s="53" t="s">
        <v>130</v>
      </c>
      <c r="F7" s="48"/>
      <c r="G7" s="94" t="s">
        <v>139</v>
      </c>
      <c r="H7" s="94"/>
      <c r="I7" s="95"/>
    </row>
    <row r="8" spans="1:9" ht="15.6" customHeight="1">
      <c r="A8" s="53" t="s">
        <v>131</v>
      </c>
      <c r="B8" s="53" t="s">
        <v>132</v>
      </c>
      <c r="C8" s="54" t="s">
        <v>89</v>
      </c>
      <c r="D8" s="53" t="s">
        <v>130</v>
      </c>
      <c r="F8" s="48"/>
      <c r="G8" s="164" t="s">
        <v>3170</v>
      </c>
      <c r="H8" s="164"/>
      <c r="I8" s="165"/>
    </row>
    <row r="9" spans="1:9" ht="14.4">
      <c r="A9" s="53" t="s">
        <v>133</v>
      </c>
      <c r="B9" s="53" t="s">
        <v>134</v>
      </c>
      <c r="C9" s="54" t="s">
        <v>89</v>
      </c>
      <c r="D9" s="53" t="s">
        <v>130</v>
      </c>
      <c r="F9" s="48"/>
      <c r="G9" s="164" t="s">
        <v>3171</v>
      </c>
      <c r="H9" s="164"/>
      <c r="I9" s="165"/>
    </row>
    <row r="10" spans="1:9" ht="14.4" customHeight="1">
      <c r="A10" s="53" t="s">
        <v>135</v>
      </c>
      <c r="B10" s="53" t="s">
        <v>136</v>
      </c>
      <c r="C10" s="54" t="s">
        <v>89</v>
      </c>
      <c r="D10" s="53" t="s">
        <v>130</v>
      </c>
      <c r="F10" s="89" t="s">
        <v>127</v>
      </c>
      <c r="G10" s="155" t="s">
        <v>3172</v>
      </c>
      <c r="H10" s="155"/>
      <c r="I10" s="156"/>
    </row>
    <row r="11" spans="1:9" ht="14.4" customHeight="1">
      <c r="A11" s="53" t="s">
        <v>137</v>
      </c>
      <c r="B11" s="53" t="s">
        <v>138</v>
      </c>
      <c r="C11" s="54" t="s">
        <v>89</v>
      </c>
      <c r="D11" s="53" t="s">
        <v>130</v>
      </c>
      <c r="F11" s="50"/>
      <c r="G11" s="155"/>
      <c r="H11" s="155"/>
      <c r="I11" s="156"/>
    </row>
    <row r="12" spans="1:9" ht="14.4" customHeight="1">
      <c r="A12" s="53" t="s">
        <v>140</v>
      </c>
      <c r="B12" s="53" t="s">
        <v>141</v>
      </c>
      <c r="C12" s="54" t="s">
        <v>89</v>
      </c>
      <c r="D12" s="53" t="s">
        <v>130</v>
      </c>
      <c r="F12" s="89" t="s">
        <v>127</v>
      </c>
      <c r="G12" s="155" t="s">
        <v>3173</v>
      </c>
      <c r="H12" s="155"/>
      <c r="I12" s="156"/>
    </row>
    <row r="13" spans="1:9" ht="14.4" customHeight="1">
      <c r="A13" s="53" t="s">
        <v>142</v>
      </c>
      <c r="B13" s="53" t="s">
        <v>143</v>
      </c>
      <c r="C13" s="54" t="s">
        <v>89</v>
      </c>
      <c r="D13" s="53" t="s">
        <v>130</v>
      </c>
      <c r="F13" s="89"/>
      <c r="G13" s="155"/>
      <c r="H13" s="155"/>
      <c r="I13" s="156"/>
    </row>
    <row r="14" spans="1:9" ht="14.4">
      <c r="A14" s="53" t="s">
        <v>144</v>
      </c>
      <c r="B14" s="53" t="s">
        <v>145</v>
      </c>
      <c r="C14" s="54" t="s">
        <v>89</v>
      </c>
      <c r="D14" s="53" t="s">
        <v>130</v>
      </c>
      <c r="F14" s="89"/>
      <c r="G14" s="96"/>
      <c r="H14" s="96"/>
      <c r="I14" s="88"/>
    </row>
    <row r="15" spans="1:9" ht="14.7" customHeight="1">
      <c r="A15" s="53" t="s">
        <v>146</v>
      </c>
      <c r="B15" s="53" t="s">
        <v>147</v>
      </c>
      <c r="C15" s="54" t="s">
        <v>89</v>
      </c>
      <c r="D15" s="53" t="s">
        <v>130</v>
      </c>
      <c r="F15" s="159" t="s">
        <v>127</v>
      </c>
      <c r="G15" s="155" t="s">
        <v>3080</v>
      </c>
      <c r="H15" s="155"/>
      <c r="I15" s="156"/>
    </row>
    <row r="16" spans="1:9" ht="14.4">
      <c r="A16" s="53" t="s">
        <v>148</v>
      </c>
      <c r="B16" s="53" t="s">
        <v>149</v>
      </c>
      <c r="C16" s="54" t="s">
        <v>89</v>
      </c>
      <c r="D16" s="53" t="s">
        <v>130</v>
      </c>
      <c r="F16" s="159"/>
      <c r="G16" s="155"/>
      <c r="H16" s="155"/>
      <c r="I16" s="156"/>
    </row>
    <row r="17" spans="1:13" ht="14.4">
      <c r="A17" s="53" t="s">
        <v>150</v>
      </c>
      <c r="B17" s="53" t="s">
        <v>151</v>
      </c>
      <c r="C17" s="54" t="s">
        <v>89</v>
      </c>
      <c r="D17" s="53" t="s">
        <v>130</v>
      </c>
      <c r="F17" s="159"/>
      <c r="G17" s="155"/>
      <c r="H17" s="155"/>
      <c r="I17" s="156"/>
    </row>
    <row r="18" spans="1:13" ht="12.75" customHeight="1">
      <c r="A18" s="53" t="s">
        <v>152</v>
      </c>
      <c r="B18" s="53" t="s">
        <v>153</v>
      </c>
      <c r="C18" s="54" t="s">
        <v>89</v>
      </c>
      <c r="D18" s="53" t="s">
        <v>130</v>
      </c>
      <c r="F18" s="159" t="s">
        <v>127</v>
      </c>
      <c r="G18" s="155" t="s">
        <v>3163</v>
      </c>
      <c r="H18" s="155"/>
      <c r="I18" s="156"/>
    </row>
    <row r="19" spans="1:13" ht="14.4">
      <c r="A19" s="53" t="s">
        <v>154</v>
      </c>
      <c r="B19" s="53" t="s">
        <v>155</v>
      </c>
      <c r="C19" s="54" t="s">
        <v>89</v>
      </c>
      <c r="D19" s="53" t="s">
        <v>130</v>
      </c>
      <c r="F19" s="159"/>
      <c r="G19" s="155"/>
      <c r="H19" s="155"/>
      <c r="I19" s="156"/>
    </row>
    <row r="20" spans="1:13" ht="13.35" customHeight="1">
      <c r="A20" s="53" t="s">
        <v>156</v>
      </c>
      <c r="B20" s="53" t="s">
        <v>157</v>
      </c>
      <c r="C20" s="54" t="s">
        <v>89</v>
      </c>
      <c r="D20" s="53" t="s">
        <v>130</v>
      </c>
      <c r="F20" s="159"/>
      <c r="G20" s="155"/>
      <c r="H20" s="155"/>
      <c r="I20" s="156"/>
      <c r="M20" s="2"/>
    </row>
    <row r="21" spans="1:13" ht="14.7" customHeight="1">
      <c r="A21" s="53" t="s">
        <v>158</v>
      </c>
      <c r="B21" s="53" t="s">
        <v>159</v>
      </c>
      <c r="C21" s="54" t="s">
        <v>89</v>
      </c>
      <c r="D21" s="53" t="s">
        <v>130</v>
      </c>
      <c r="F21" s="159" t="s">
        <v>127</v>
      </c>
      <c r="G21" s="155" t="s">
        <v>3165</v>
      </c>
      <c r="H21" s="155"/>
      <c r="I21" s="156"/>
    </row>
    <row r="22" spans="1:13" ht="12.75" customHeight="1">
      <c r="A22" s="53" t="s">
        <v>160</v>
      </c>
      <c r="B22" s="53" t="s">
        <v>161</v>
      </c>
      <c r="C22" s="54" t="s">
        <v>89</v>
      </c>
      <c r="D22" s="53" t="s">
        <v>130</v>
      </c>
      <c r="F22" s="159"/>
      <c r="G22" s="155"/>
      <c r="H22" s="155"/>
      <c r="I22" s="156"/>
      <c r="M22" s="2"/>
    </row>
    <row r="23" spans="1:13" ht="14.4">
      <c r="A23" s="53" t="s">
        <v>162</v>
      </c>
      <c r="B23" s="53" t="s">
        <v>163</v>
      </c>
      <c r="C23" s="54" t="s">
        <v>89</v>
      </c>
      <c r="D23" s="53" t="s">
        <v>130</v>
      </c>
      <c r="F23" s="159"/>
      <c r="G23" s="155"/>
      <c r="H23" s="155"/>
      <c r="I23" s="156"/>
      <c r="M23" s="2"/>
    </row>
    <row r="24" spans="1:13" ht="14.4">
      <c r="A24" s="53" t="s">
        <v>164</v>
      </c>
      <c r="B24" s="53" t="s">
        <v>165</v>
      </c>
      <c r="C24" s="54" t="s">
        <v>89</v>
      </c>
      <c r="D24" s="53" t="s">
        <v>130</v>
      </c>
      <c r="F24" s="159"/>
      <c r="G24" s="155"/>
      <c r="H24" s="155"/>
      <c r="I24" s="156"/>
      <c r="M24" s="2"/>
    </row>
    <row r="25" spans="1:13" ht="14.4" customHeight="1">
      <c r="A25" s="53" t="s">
        <v>166</v>
      </c>
      <c r="B25" s="53" t="s">
        <v>167</v>
      </c>
      <c r="C25" s="54" t="s">
        <v>89</v>
      </c>
      <c r="D25" s="53" t="s">
        <v>130</v>
      </c>
      <c r="E25" s="90"/>
      <c r="F25" s="89" t="s">
        <v>127</v>
      </c>
      <c r="G25" s="91" t="s">
        <v>3168</v>
      </c>
      <c r="H25" s="91"/>
      <c r="I25" s="92"/>
    </row>
    <row r="26" spans="1:13" ht="12.75" customHeight="1">
      <c r="A26" s="53" t="s">
        <v>168</v>
      </c>
      <c r="B26" s="53" t="s">
        <v>169</v>
      </c>
      <c r="C26" s="54" t="s">
        <v>89</v>
      </c>
      <c r="D26" s="53" t="s">
        <v>130</v>
      </c>
      <c r="F26" s="159" t="s">
        <v>127</v>
      </c>
      <c r="G26" s="155" t="s">
        <v>3164</v>
      </c>
      <c r="H26" s="155"/>
      <c r="I26" s="156"/>
    </row>
    <row r="27" spans="1:13" ht="14.4">
      <c r="A27" s="53" t="s">
        <v>170</v>
      </c>
      <c r="B27" s="53" t="s">
        <v>171</v>
      </c>
      <c r="C27" s="54" t="s">
        <v>89</v>
      </c>
      <c r="D27" s="53" t="s">
        <v>130</v>
      </c>
      <c r="F27" s="159"/>
      <c r="G27" s="155"/>
      <c r="H27" s="155"/>
      <c r="I27" s="156"/>
    </row>
    <row r="28" spans="1:13" ht="15" thickBot="1">
      <c r="A28" s="53" t="s">
        <v>172</v>
      </c>
      <c r="B28" s="53" t="s">
        <v>173</v>
      </c>
      <c r="C28" s="54" t="s">
        <v>89</v>
      </c>
      <c r="D28" s="53" t="s">
        <v>130</v>
      </c>
      <c r="E28" s="93"/>
      <c r="F28" s="160"/>
      <c r="G28" s="157"/>
      <c r="H28" s="157"/>
      <c r="I28" s="158"/>
    </row>
    <row r="29" spans="1:13" ht="14.4">
      <c r="A29" s="53" t="s">
        <v>174</v>
      </c>
      <c r="B29" s="53" t="s">
        <v>175</v>
      </c>
      <c r="C29" s="54" t="s">
        <v>89</v>
      </c>
      <c r="D29" s="53" t="s">
        <v>130</v>
      </c>
      <c r="E29" s="93"/>
      <c r="F29" s="93"/>
      <c r="G29" s="93"/>
      <c r="H29" s="93"/>
      <c r="I29" s="93"/>
      <c r="M29" s="2"/>
    </row>
    <row r="30" spans="1:13" ht="14.4">
      <c r="A30" s="53" t="s">
        <v>3077</v>
      </c>
      <c r="B30" s="53" t="s">
        <v>176</v>
      </c>
      <c r="C30" s="54" t="s">
        <v>89</v>
      </c>
      <c r="D30" s="53" t="s">
        <v>130</v>
      </c>
      <c r="E30" s="93"/>
      <c r="F30" s="93"/>
      <c r="G30" s="93"/>
      <c r="H30" s="93"/>
      <c r="I30" s="93"/>
      <c r="M30" s="2"/>
    </row>
    <row r="31" spans="1:13" ht="14.4">
      <c r="A31" s="53" t="s">
        <v>177</v>
      </c>
      <c r="B31" s="53" t="s">
        <v>178</v>
      </c>
      <c r="C31" s="54" t="s">
        <v>89</v>
      </c>
      <c r="D31" s="53" t="s">
        <v>130</v>
      </c>
      <c r="E31" s="93"/>
      <c r="F31" s="93"/>
      <c r="G31" s="93"/>
      <c r="H31" s="93"/>
      <c r="I31" s="93"/>
      <c r="M31" s="2"/>
    </row>
    <row r="32" spans="1:13" ht="14.4">
      <c r="A32" s="53" t="s">
        <v>179</v>
      </c>
      <c r="B32" s="53" t="s">
        <v>180</v>
      </c>
      <c r="C32" s="54" t="s">
        <v>89</v>
      </c>
      <c r="D32" s="53" t="s">
        <v>130</v>
      </c>
      <c r="E32" s="93"/>
      <c r="F32" s="93"/>
      <c r="G32" s="93"/>
      <c r="H32" s="93"/>
      <c r="I32" s="93"/>
      <c r="M32" s="2"/>
    </row>
    <row r="33" spans="1:13" ht="14.4">
      <c r="A33" s="53" t="s">
        <v>181</v>
      </c>
      <c r="B33" s="53" t="s">
        <v>182</v>
      </c>
      <c r="C33" s="54" t="s">
        <v>89</v>
      </c>
      <c r="D33" s="53" t="s">
        <v>130</v>
      </c>
      <c r="E33" s="93"/>
      <c r="F33" s="93"/>
      <c r="G33" s="93"/>
      <c r="H33" s="93"/>
      <c r="I33" s="93"/>
      <c r="M33" s="2"/>
    </row>
    <row r="34" spans="1:13" ht="14.4">
      <c r="A34" s="53" t="s">
        <v>183</v>
      </c>
      <c r="B34" s="53" t="s">
        <v>184</v>
      </c>
      <c r="C34" s="54" t="s">
        <v>89</v>
      </c>
      <c r="D34" s="53" t="s">
        <v>130</v>
      </c>
      <c r="E34" s="93"/>
      <c r="F34" s="93"/>
      <c r="G34" s="93"/>
      <c r="H34" s="93"/>
      <c r="I34" s="93"/>
    </row>
    <row r="35" spans="1:13" ht="14.4">
      <c r="A35" s="53" t="s">
        <v>185</v>
      </c>
      <c r="B35" s="53" t="s">
        <v>186</v>
      </c>
      <c r="C35" s="54" t="s">
        <v>89</v>
      </c>
      <c r="D35" s="53" t="s">
        <v>130</v>
      </c>
      <c r="E35" s="93"/>
      <c r="F35" s="93"/>
      <c r="G35" s="93"/>
      <c r="H35" s="93"/>
      <c r="I35" s="93"/>
      <c r="M35" s="2"/>
    </row>
    <row r="36" spans="1:13" ht="14.4">
      <c r="A36" s="53" t="s">
        <v>187</v>
      </c>
      <c r="B36" s="53" t="s">
        <v>188</v>
      </c>
      <c r="C36" s="54" t="s">
        <v>89</v>
      </c>
      <c r="D36" s="53" t="s">
        <v>130</v>
      </c>
      <c r="E36" s="93"/>
      <c r="F36" s="93"/>
      <c r="G36" s="93"/>
      <c r="H36" s="93"/>
      <c r="I36" s="93"/>
      <c r="M36" s="2"/>
    </row>
    <row r="37" spans="1:13" ht="14.4">
      <c r="A37" s="53" t="s">
        <v>189</v>
      </c>
      <c r="B37" s="53" t="s">
        <v>190</v>
      </c>
      <c r="C37" s="54" t="s">
        <v>89</v>
      </c>
      <c r="D37" s="53" t="s">
        <v>130</v>
      </c>
      <c r="E37" s="93"/>
      <c r="F37" s="93"/>
      <c r="G37" s="93"/>
      <c r="H37" s="93"/>
      <c r="I37" s="93"/>
      <c r="M37" s="2"/>
    </row>
    <row r="38" spans="1:13" ht="14.4">
      <c r="A38" s="53" t="s">
        <v>191</v>
      </c>
      <c r="B38" s="53" t="s">
        <v>192</v>
      </c>
      <c r="C38" s="54" t="s">
        <v>89</v>
      </c>
      <c r="D38" s="53" t="s">
        <v>130</v>
      </c>
      <c r="E38" s="93"/>
      <c r="F38" s="93"/>
      <c r="G38" s="93"/>
      <c r="H38" s="93"/>
      <c r="I38" s="93"/>
      <c r="M38" s="2"/>
    </row>
    <row r="39" spans="1:13" ht="14.4">
      <c r="A39" s="53" t="s">
        <v>193</v>
      </c>
      <c r="B39" s="53" t="s">
        <v>194</v>
      </c>
      <c r="C39" s="54" t="s">
        <v>89</v>
      </c>
      <c r="D39" s="53" t="s">
        <v>130</v>
      </c>
      <c r="E39" s="93"/>
      <c r="F39" s="93"/>
      <c r="G39" s="93"/>
      <c r="H39" s="93"/>
      <c r="I39" s="93"/>
      <c r="M39" s="2"/>
    </row>
    <row r="40" spans="1:13" ht="14.4">
      <c r="A40" s="53" t="s">
        <v>195</v>
      </c>
      <c r="B40" s="53" t="s">
        <v>196</v>
      </c>
      <c r="C40" s="54" t="s">
        <v>89</v>
      </c>
      <c r="D40" s="53" t="s">
        <v>130</v>
      </c>
      <c r="E40" s="93"/>
      <c r="F40" s="93"/>
      <c r="G40" s="93"/>
      <c r="H40" s="93"/>
      <c r="I40" s="93"/>
      <c r="M40" s="2"/>
    </row>
    <row r="41" spans="1:13" ht="14.4">
      <c r="A41" s="53" t="s">
        <v>197</v>
      </c>
      <c r="B41" s="53" t="s">
        <v>198</v>
      </c>
      <c r="C41" s="54" t="s">
        <v>89</v>
      </c>
      <c r="D41" s="53" t="s">
        <v>130</v>
      </c>
      <c r="E41" s="93"/>
      <c r="F41" s="93"/>
      <c r="G41" s="93"/>
      <c r="H41" s="93"/>
      <c r="I41" s="93"/>
      <c r="M41" s="2"/>
    </row>
    <row r="42" spans="1:13" ht="14.4">
      <c r="A42" s="53" t="s">
        <v>199</v>
      </c>
      <c r="B42" s="53" t="s">
        <v>200</v>
      </c>
      <c r="C42" s="54" t="s">
        <v>89</v>
      </c>
      <c r="D42" s="53" t="s">
        <v>130</v>
      </c>
      <c r="E42" s="93"/>
      <c r="F42" s="93"/>
      <c r="G42" s="93"/>
      <c r="H42" s="93"/>
      <c r="I42" s="93"/>
    </row>
    <row r="43" spans="1:13" ht="14.4">
      <c r="A43" s="53" t="s">
        <v>201</v>
      </c>
      <c r="B43" s="53" t="s">
        <v>202</v>
      </c>
      <c r="C43" s="54" t="s">
        <v>89</v>
      </c>
      <c r="D43" s="53" t="s">
        <v>130</v>
      </c>
      <c r="E43" s="93"/>
      <c r="F43" s="93"/>
      <c r="G43" s="93"/>
      <c r="H43" s="93"/>
      <c r="I43" s="93"/>
    </row>
    <row r="44" spans="1:13" ht="14.4">
      <c r="A44" s="53" t="s">
        <v>203</v>
      </c>
      <c r="B44" s="53" t="s">
        <v>204</v>
      </c>
      <c r="C44" s="54" t="s">
        <v>89</v>
      </c>
      <c r="D44" s="53" t="s">
        <v>130</v>
      </c>
      <c r="E44" s="93"/>
      <c r="F44" s="93"/>
      <c r="G44" s="93"/>
      <c r="H44" s="93"/>
      <c r="I44" s="93"/>
    </row>
    <row r="45" spans="1:13" ht="14.4">
      <c r="A45" s="53" t="s">
        <v>205</v>
      </c>
      <c r="B45" s="53" t="s">
        <v>206</v>
      </c>
      <c r="C45" s="54" t="s">
        <v>89</v>
      </c>
      <c r="D45" s="53" t="s">
        <v>130</v>
      </c>
      <c r="E45" s="93"/>
      <c r="F45" s="93"/>
      <c r="G45" s="93"/>
      <c r="H45" s="93"/>
      <c r="I45" s="93"/>
    </row>
    <row r="46" spans="1:13" ht="14.4">
      <c r="A46" s="53" t="s">
        <v>208</v>
      </c>
      <c r="B46" s="53" t="s">
        <v>209</v>
      </c>
      <c r="C46" s="54" t="s">
        <v>89</v>
      </c>
      <c r="D46" s="53" t="s">
        <v>130</v>
      </c>
      <c r="E46" s="93"/>
      <c r="F46" s="93"/>
      <c r="G46" s="93"/>
      <c r="H46" s="93"/>
      <c r="I46" s="93"/>
    </row>
    <row r="47" spans="1:13" ht="14.4">
      <c r="A47" s="53" t="s">
        <v>210</v>
      </c>
      <c r="B47" s="53" t="s">
        <v>211</v>
      </c>
      <c r="C47" s="54" t="s">
        <v>89</v>
      </c>
      <c r="D47" s="53" t="s">
        <v>130</v>
      </c>
      <c r="E47" s="93"/>
      <c r="F47" s="93"/>
      <c r="G47" s="93"/>
      <c r="H47" s="93"/>
      <c r="I47" s="93"/>
    </row>
    <row r="48" spans="1:13" ht="14.4">
      <c r="A48" s="53" t="s">
        <v>212</v>
      </c>
      <c r="B48" s="53" t="s">
        <v>213</v>
      </c>
      <c r="C48" s="54" t="s">
        <v>89</v>
      </c>
      <c r="D48" s="53" t="s">
        <v>130</v>
      </c>
      <c r="E48" s="93"/>
      <c r="F48" s="93"/>
      <c r="G48" s="93"/>
      <c r="H48" s="93"/>
      <c r="I48" s="93"/>
    </row>
    <row r="49" spans="1:13" ht="14.4">
      <c r="A49" s="53" t="s">
        <v>214</v>
      </c>
      <c r="B49" s="53" t="s">
        <v>215</v>
      </c>
      <c r="C49" s="54" t="s">
        <v>89</v>
      </c>
      <c r="D49" s="53" t="s">
        <v>130</v>
      </c>
      <c r="E49" s="93"/>
      <c r="F49" s="93"/>
      <c r="G49" s="93"/>
      <c r="H49" s="93"/>
      <c r="I49" s="93"/>
    </row>
    <row r="50" spans="1:13" ht="14.4">
      <c r="A50" s="53" t="s">
        <v>216</v>
      </c>
      <c r="B50" s="53" t="s">
        <v>217</v>
      </c>
      <c r="C50" s="54" t="s">
        <v>88</v>
      </c>
      <c r="D50" s="53"/>
      <c r="E50" s="93"/>
      <c r="F50" s="93"/>
      <c r="G50" s="93"/>
      <c r="H50" s="93"/>
      <c r="I50" s="93"/>
    </row>
    <row r="51" spans="1:13" ht="14.4">
      <c r="A51" s="53" t="s">
        <v>218</v>
      </c>
      <c r="B51" s="53" t="s">
        <v>219</v>
      </c>
      <c r="C51" s="54" t="s">
        <v>89</v>
      </c>
      <c r="D51" s="53" t="s">
        <v>130</v>
      </c>
      <c r="E51" s="93"/>
      <c r="F51" s="93"/>
      <c r="G51" s="93"/>
      <c r="H51" s="93"/>
      <c r="I51" s="93"/>
    </row>
    <row r="52" spans="1:13" ht="14.4">
      <c r="A52" s="53" t="s">
        <v>220</v>
      </c>
      <c r="B52" s="53" t="s">
        <v>221</v>
      </c>
      <c r="C52" s="54" t="s">
        <v>89</v>
      </c>
      <c r="D52" s="53" t="s">
        <v>130</v>
      </c>
      <c r="E52" s="93"/>
      <c r="F52" s="93"/>
      <c r="G52" s="93"/>
      <c r="H52" s="93"/>
      <c r="I52" s="93"/>
      <c r="M52" s="2"/>
    </row>
    <row r="53" spans="1:13" ht="14.4">
      <c r="A53" s="53" t="s">
        <v>222</v>
      </c>
      <c r="B53" s="53" t="s">
        <v>223</v>
      </c>
      <c r="C53" s="54" t="s">
        <v>89</v>
      </c>
      <c r="D53" s="53" t="s">
        <v>130</v>
      </c>
      <c r="E53" s="93"/>
      <c r="F53" s="93"/>
      <c r="G53" s="93"/>
      <c r="H53" s="93"/>
      <c r="I53" s="93"/>
      <c r="M53" s="2"/>
    </row>
    <row r="54" spans="1:13" ht="14.4">
      <c r="A54" s="53" t="s">
        <v>224</v>
      </c>
      <c r="B54" s="53" t="s">
        <v>225</v>
      </c>
      <c r="C54" s="54" t="s">
        <v>89</v>
      </c>
      <c r="D54" s="53" t="s">
        <v>130</v>
      </c>
      <c r="E54" s="93"/>
      <c r="F54" s="93"/>
      <c r="G54" s="93"/>
      <c r="H54" s="93"/>
      <c r="I54" s="93"/>
      <c r="M54" s="2"/>
    </row>
    <row r="55" spans="1:13" ht="14.4">
      <c r="A55" s="53" t="s">
        <v>226</v>
      </c>
      <c r="B55" s="53" t="s">
        <v>227</v>
      </c>
      <c r="C55" s="54" t="s">
        <v>59</v>
      </c>
      <c r="D55" s="53"/>
      <c r="E55" s="93"/>
      <c r="F55" s="93"/>
      <c r="G55" s="93"/>
      <c r="H55" s="93"/>
      <c r="I55" s="93"/>
      <c r="M55" s="2"/>
    </row>
    <row r="56" spans="1:13" ht="14.4">
      <c r="A56" s="53" t="s">
        <v>228</v>
      </c>
      <c r="B56" s="53" t="s">
        <v>229</v>
      </c>
      <c r="C56" s="54" t="s">
        <v>88</v>
      </c>
      <c r="D56" s="53"/>
      <c r="E56" s="93"/>
      <c r="F56" s="93"/>
      <c r="G56" s="93"/>
      <c r="H56" s="93"/>
      <c r="I56" s="93"/>
      <c r="M56" s="2"/>
    </row>
    <row r="57" spans="1:13" ht="14.4">
      <c r="A57" s="53" t="s">
        <v>230</v>
      </c>
      <c r="B57" s="53" t="s">
        <v>3070</v>
      </c>
      <c r="C57" s="54" t="s">
        <v>89</v>
      </c>
      <c r="D57" s="53" t="s">
        <v>130</v>
      </c>
      <c r="E57" s="93"/>
      <c r="F57" s="93"/>
      <c r="G57" s="93"/>
      <c r="H57" s="93"/>
      <c r="I57" s="93"/>
    </row>
    <row r="58" spans="1:13" ht="14.4">
      <c r="A58" s="53" t="s">
        <v>231</v>
      </c>
      <c r="B58" s="53" t="s">
        <v>232</v>
      </c>
      <c r="C58" s="54" t="s">
        <v>89</v>
      </c>
      <c r="D58" s="53" t="s">
        <v>130</v>
      </c>
      <c r="E58" s="93"/>
      <c r="F58" s="93"/>
      <c r="G58" s="93"/>
      <c r="H58" s="93"/>
      <c r="I58" s="93"/>
    </row>
    <row r="59" spans="1:13" ht="14.4">
      <c r="A59" s="53" t="s">
        <v>233</v>
      </c>
      <c r="B59" s="53" t="s">
        <v>234</v>
      </c>
      <c r="C59" s="54" t="s">
        <v>89</v>
      </c>
      <c r="D59" s="53" t="s">
        <v>130</v>
      </c>
      <c r="E59" s="93"/>
      <c r="F59" s="93"/>
      <c r="G59" s="93"/>
      <c r="H59" s="93"/>
      <c r="I59" s="93"/>
    </row>
    <row r="60" spans="1:13" ht="14.4">
      <c r="A60" s="53" t="s">
        <v>235</v>
      </c>
      <c r="B60" s="53" t="s">
        <v>236</v>
      </c>
      <c r="C60" s="54" t="s">
        <v>89</v>
      </c>
      <c r="D60" s="53" t="s">
        <v>130</v>
      </c>
      <c r="E60" s="93"/>
      <c r="F60" s="93"/>
      <c r="G60" s="93"/>
      <c r="H60" s="93"/>
      <c r="I60" s="93"/>
    </row>
    <row r="61" spans="1:13" ht="14.4">
      <c r="A61" s="53" t="s">
        <v>237</v>
      </c>
      <c r="B61" s="53" t="s">
        <v>238</v>
      </c>
      <c r="C61" s="54" t="s">
        <v>89</v>
      </c>
      <c r="D61" s="53" t="s">
        <v>130</v>
      </c>
      <c r="E61" s="93"/>
      <c r="F61" s="93"/>
      <c r="G61" s="93"/>
      <c r="H61" s="93"/>
      <c r="I61" s="93"/>
    </row>
    <row r="62" spans="1:13" ht="14.4">
      <c r="A62" s="53" t="s">
        <v>239</v>
      </c>
      <c r="B62" s="53" t="s">
        <v>240</v>
      </c>
      <c r="C62" s="54" t="s">
        <v>84</v>
      </c>
      <c r="D62" s="53" t="s">
        <v>241</v>
      </c>
      <c r="E62" s="93"/>
      <c r="F62" s="93"/>
      <c r="G62" s="93"/>
      <c r="H62" s="93"/>
      <c r="I62" s="93"/>
    </row>
    <row r="63" spans="1:13" ht="14.4">
      <c r="A63" s="53" t="s">
        <v>3073</v>
      </c>
      <c r="B63" s="53" t="s">
        <v>3074</v>
      </c>
      <c r="C63" s="54" t="s">
        <v>84</v>
      </c>
      <c r="D63" s="53" t="s">
        <v>241</v>
      </c>
      <c r="E63" s="93"/>
      <c r="F63" s="93"/>
      <c r="G63" s="93"/>
      <c r="H63" s="93"/>
      <c r="I63" s="93"/>
    </row>
    <row r="64" spans="1:13" ht="14.4">
      <c r="A64" s="53" t="s">
        <v>242</v>
      </c>
      <c r="B64" s="53" t="s">
        <v>243</v>
      </c>
      <c r="C64" s="54" t="s">
        <v>84</v>
      </c>
      <c r="D64" s="53" t="s">
        <v>241</v>
      </c>
      <c r="E64" s="93"/>
      <c r="F64" s="93"/>
      <c r="G64" s="93"/>
      <c r="H64" s="93"/>
      <c r="I64" s="93"/>
    </row>
    <row r="65" spans="1:13" ht="14.4">
      <c r="A65" s="53" t="s">
        <v>244</v>
      </c>
      <c r="B65" s="53" t="s">
        <v>245</v>
      </c>
      <c r="C65" s="54" t="s">
        <v>84</v>
      </c>
      <c r="D65" s="53" t="s">
        <v>241</v>
      </c>
      <c r="E65" s="93"/>
      <c r="F65" s="93"/>
      <c r="G65" s="93"/>
      <c r="H65" s="93"/>
      <c r="I65" s="93"/>
    </row>
    <row r="66" spans="1:13" ht="14.4">
      <c r="A66" s="53" t="s">
        <v>246</v>
      </c>
      <c r="B66" s="53" t="s">
        <v>247</v>
      </c>
      <c r="C66" s="54" t="s">
        <v>84</v>
      </c>
      <c r="D66" s="53" t="s">
        <v>241</v>
      </c>
      <c r="E66" s="93"/>
      <c r="F66" s="93"/>
      <c r="G66" s="93"/>
      <c r="H66" s="93"/>
      <c r="I66" s="93"/>
    </row>
    <row r="67" spans="1:13" ht="14.4">
      <c r="A67" s="53" t="s">
        <v>248</v>
      </c>
      <c r="B67" s="53" t="s">
        <v>249</v>
      </c>
      <c r="C67" s="54" t="s">
        <v>84</v>
      </c>
      <c r="D67" s="53" t="s">
        <v>241</v>
      </c>
      <c r="E67" s="93"/>
      <c r="F67" s="93"/>
      <c r="G67" s="93"/>
      <c r="H67" s="93"/>
      <c r="I67" s="93"/>
    </row>
    <row r="68" spans="1:13" ht="14.4">
      <c r="A68" s="53" t="s">
        <v>250</v>
      </c>
      <c r="B68" s="53" t="s">
        <v>251</v>
      </c>
      <c r="C68" s="54" t="s">
        <v>84</v>
      </c>
      <c r="D68" s="53" t="s">
        <v>241</v>
      </c>
      <c r="E68" s="93"/>
      <c r="F68" s="93"/>
      <c r="G68" s="93"/>
      <c r="H68" s="93"/>
      <c r="I68" s="93"/>
    </row>
    <row r="69" spans="1:13" ht="14.4">
      <c r="A69" s="53" t="s">
        <v>252</v>
      </c>
      <c r="B69" s="53" t="s">
        <v>253</v>
      </c>
      <c r="C69" s="54" t="s">
        <v>88</v>
      </c>
      <c r="D69" s="53"/>
      <c r="E69" s="93"/>
      <c r="F69" s="93"/>
      <c r="G69" s="93"/>
      <c r="H69" s="93"/>
      <c r="I69" s="93"/>
    </row>
    <row r="70" spans="1:13" ht="14.4">
      <c r="A70" s="53" t="s">
        <v>254</v>
      </c>
      <c r="B70" s="53" t="s">
        <v>255</v>
      </c>
      <c r="C70" s="54" t="s">
        <v>87</v>
      </c>
      <c r="D70" s="53" t="s">
        <v>256</v>
      </c>
      <c r="E70" s="93"/>
      <c r="F70" s="93"/>
      <c r="G70" s="93"/>
      <c r="H70" s="93"/>
      <c r="I70" s="93"/>
    </row>
    <row r="71" spans="1:13" ht="14.4">
      <c r="A71" s="53" t="s">
        <v>257</v>
      </c>
      <c r="B71" s="53" t="s">
        <v>258</v>
      </c>
      <c r="C71" s="54" t="s">
        <v>87</v>
      </c>
      <c r="D71" s="53" t="s">
        <v>256</v>
      </c>
      <c r="E71" s="93"/>
      <c r="F71" s="93"/>
      <c r="G71" s="93"/>
      <c r="H71" s="93"/>
      <c r="I71" s="93"/>
    </row>
    <row r="72" spans="1:13" ht="14.4">
      <c r="A72" s="53" t="s">
        <v>259</v>
      </c>
      <c r="B72" s="53" t="s">
        <v>260</v>
      </c>
      <c r="C72" s="54" t="s">
        <v>87</v>
      </c>
      <c r="D72" s="53" t="s">
        <v>256</v>
      </c>
      <c r="E72" s="93"/>
      <c r="F72" s="93"/>
      <c r="G72" s="93"/>
      <c r="H72" s="93"/>
      <c r="I72" s="93"/>
    </row>
    <row r="73" spans="1:13" ht="14.4">
      <c r="A73" s="53" t="s">
        <v>261</v>
      </c>
      <c r="B73" s="53" t="s">
        <v>262</v>
      </c>
      <c r="C73" s="54" t="s">
        <v>84</v>
      </c>
      <c r="D73" s="53" t="s">
        <v>241</v>
      </c>
      <c r="E73" s="93"/>
      <c r="F73" s="93"/>
      <c r="G73" s="93"/>
      <c r="H73" s="93"/>
      <c r="I73" s="93"/>
    </row>
    <row r="74" spans="1:13" ht="14.4">
      <c r="A74" s="53" t="s">
        <v>263</v>
      </c>
      <c r="B74" s="53" t="s">
        <v>264</v>
      </c>
      <c r="C74" s="54" t="s">
        <v>89</v>
      </c>
      <c r="D74" s="53" t="s">
        <v>265</v>
      </c>
      <c r="E74" s="93"/>
      <c r="F74" s="93"/>
      <c r="G74" s="93"/>
      <c r="H74" s="93"/>
      <c r="I74" s="93"/>
    </row>
    <row r="75" spans="1:13" ht="14.4">
      <c r="A75" s="53" t="s">
        <v>266</v>
      </c>
      <c r="B75" s="53" t="s">
        <v>267</v>
      </c>
      <c r="C75" s="54" t="s">
        <v>88</v>
      </c>
      <c r="D75" s="53"/>
      <c r="E75" s="93"/>
      <c r="F75" s="93"/>
      <c r="G75" s="93"/>
      <c r="H75" s="93"/>
      <c r="I75" s="93"/>
    </row>
    <row r="76" spans="1:13" ht="14.4">
      <c r="A76" s="53" t="s">
        <v>269</v>
      </c>
      <c r="B76" s="53" t="s">
        <v>270</v>
      </c>
      <c r="C76" s="54" t="s">
        <v>88</v>
      </c>
      <c r="D76" s="53"/>
      <c r="E76" s="93"/>
      <c r="F76" s="93"/>
      <c r="G76" s="93"/>
      <c r="H76" s="93"/>
      <c r="I76" s="93"/>
    </row>
    <row r="77" spans="1:13" ht="14.4">
      <c r="A77" s="53" t="s">
        <v>271</v>
      </c>
      <c r="B77" s="53" t="s">
        <v>272</v>
      </c>
      <c r="C77" s="54" t="s">
        <v>84</v>
      </c>
      <c r="D77" s="53" t="s">
        <v>268</v>
      </c>
      <c r="E77" s="93"/>
      <c r="F77" s="93"/>
      <c r="G77" s="93"/>
      <c r="H77" s="93"/>
      <c r="I77" s="93"/>
    </row>
    <row r="78" spans="1:13" ht="14.4">
      <c r="A78" s="53" t="s">
        <v>273</v>
      </c>
      <c r="B78" s="53" t="s">
        <v>274</v>
      </c>
      <c r="C78" s="54" t="s">
        <v>84</v>
      </c>
      <c r="D78" s="53" t="s">
        <v>268</v>
      </c>
      <c r="E78" s="93"/>
      <c r="F78" s="93"/>
      <c r="G78" s="93"/>
      <c r="H78" s="93"/>
      <c r="I78" s="93"/>
    </row>
    <row r="79" spans="1:13" ht="14.4">
      <c r="A79" s="53" t="s">
        <v>275</v>
      </c>
      <c r="B79" s="53" t="s">
        <v>276</v>
      </c>
      <c r="C79" s="54" t="s">
        <v>88</v>
      </c>
      <c r="D79" s="53"/>
      <c r="E79" s="93"/>
      <c r="F79" s="93"/>
      <c r="G79" s="93"/>
      <c r="H79" s="93"/>
      <c r="I79" s="93"/>
    </row>
    <row r="80" spans="1:13" ht="14.4">
      <c r="A80" s="53" t="s">
        <v>277</v>
      </c>
      <c r="B80" s="53" t="s">
        <v>278</v>
      </c>
      <c r="C80" s="54" t="s">
        <v>85</v>
      </c>
      <c r="D80" s="53"/>
      <c r="E80" s="93"/>
      <c r="F80" s="93"/>
      <c r="G80" s="93"/>
      <c r="H80" s="93"/>
      <c r="I80" s="93"/>
      <c r="M80" s="2"/>
    </row>
    <row r="81" spans="1:13" ht="14.4">
      <c r="A81" s="53" t="s">
        <v>279</v>
      </c>
      <c r="B81" s="53" t="s">
        <v>280</v>
      </c>
      <c r="C81" s="54" t="s">
        <v>85</v>
      </c>
      <c r="D81" s="53"/>
      <c r="E81" s="93"/>
      <c r="F81" s="93"/>
      <c r="G81" s="93"/>
      <c r="H81" s="93"/>
      <c r="I81" s="93"/>
      <c r="M81" s="2"/>
    </row>
    <row r="82" spans="1:13" ht="14.4">
      <c r="A82" s="53" t="s">
        <v>281</v>
      </c>
      <c r="B82" s="53" t="s">
        <v>282</v>
      </c>
      <c r="C82" s="54" t="s">
        <v>85</v>
      </c>
      <c r="D82" s="53"/>
      <c r="F82" s="93"/>
      <c r="G82" s="93"/>
      <c r="H82" s="93"/>
      <c r="I82" s="93"/>
      <c r="M82" s="2"/>
    </row>
    <row r="83" spans="1:13" ht="14.4">
      <c r="A83" s="53" t="s">
        <v>281</v>
      </c>
      <c r="B83" s="53" t="s">
        <v>283</v>
      </c>
      <c r="C83" s="54" t="s">
        <v>85</v>
      </c>
      <c r="D83" s="53"/>
      <c r="H83" s="35"/>
      <c r="M83" s="2"/>
    </row>
    <row r="84" spans="1:13" ht="14.4">
      <c r="A84" s="53" t="s">
        <v>284</v>
      </c>
      <c r="B84" s="53" t="s">
        <v>285</v>
      </c>
      <c r="C84" s="54" t="s">
        <v>85</v>
      </c>
      <c r="D84" s="53"/>
      <c r="H84" s="35"/>
      <c r="M84" s="2"/>
    </row>
    <row r="85" spans="1:13" ht="14.4">
      <c r="A85" s="53" t="s">
        <v>286</v>
      </c>
      <c r="B85" s="53" t="s">
        <v>287</v>
      </c>
      <c r="C85" s="54" t="s">
        <v>89</v>
      </c>
      <c r="D85" s="53" t="s">
        <v>288</v>
      </c>
      <c r="H85" s="35"/>
      <c r="M85" s="2"/>
    </row>
    <row r="86" spans="1:13" ht="14.4">
      <c r="A86" s="53" t="s">
        <v>289</v>
      </c>
      <c r="B86" s="53" t="s">
        <v>290</v>
      </c>
      <c r="C86" s="54" t="s">
        <v>87</v>
      </c>
      <c r="D86" s="53" t="s">
        <v>256</v>
      </c>
      <c r="H86" s="35"/>
      <c r="M86" s="2"/>
    </row>
    <row r="87" spans="1:13" ht="14.4">
      <c r="A87" s="53" t="s">
        <v>291</v>
      </c>
      <c r="B87" s="53" t="s">
        <v>292</v>
      </c>
      <c r="C87" s="54" t="s">
        <v>87</v>
      </c>
      <c r="D87" s="53" t="s">
        <v>293</v>
      </c>
      <c r="H87" s="35"/>
      <c r="M87" s="2"/>
    </row>
    <row r="88" spans="1:13" ht="14.4">
      <c r="A88" s="53" t="s">
        <v>294</v>
      </c>
      <c r="B88" s="53" t="s">
        <v>295</v>
      </c>
      <c r="C88" s="54" t="s">
        <v>87</v>
      </c>
      <c r="D88" s="53" t="s">
        <v>293</v>
      </c>
      <c r="M88" s="2"/>
    </row>
    <row r="89" spans="1:13" ht="14.4">
      <c r="A89" s="53" t="s">
        <v>296</v>
      </c>
      <c r="B89" s="53" t="s">
        <v>297</v>
      </c>
      <c r="C89" s="54" t="s">
        <v>87</v>
      </c>
      <c r="D89" s="53" t="s">
        <v>293</v>
      </c>
      <c r="H89" s="35"/>
      <c r="M89" s="2"/>
    </row>
    <row r="90" spans="1:13" ht="14.4">
      <c r="A90" s="53" t="s">
        <v>298</v>
      </c>
      <c r="B90" s="53" t="s">
        <v>299</v>
      </c>
      <c r="C90" s="54" t="s">
        <v>87</v>
      </c>
      <c r="D90" s="53" t="s">
        <v>293</v>
      </c>
      <c r="M90" s="2"/>
    </row>
    <row r="91" spans="1:13" ht="14.4">
      <c r="A91" s="53" t="s">
        <v>300</v>
      </c>
      <c r="B91" s="53" t="s">
        <v>301</v>
      </c>
      <c r="C91" s="54" t="s">
        <v>87</v>
      </c>
      <c r="D91" s="53" t="s">
        <v>293</v>
      </c>
    </row>
    <row r="92" spans="1:13" ht="14.4">
      <c r="A92" s="53" t="s">
        <v>302</v>
      </c>
      <c r="B92" s="53" t="s">
        <v>303</v>
      </c>
      <c r="C92" s="54" t="s">
        <v>87</v>
      </c>
      <c r="D92" s="53" t="s">
        <v>293</v>
      </c>
      <c r="M92" s="2"/>
    </row>
    <row r="93" spans="1:13" ht="14.4">
      <c r="A93" s="53" t="s">
        <v>304</v>
      </c>
      <c r="B93" s="53" t="s">
        <v>305</v>
      </c>
      <c r="C93" s="54" t="s">
        <v>84</v>
      </c>
      <c r="D93" s="53" t="s">
        <v>241</v>
      </c>
      <c r="M93" s="2"/>
    </row>
    <row r="94" spans="1:13" ht="14.4">
      <c r="A94" s="53" t="s">
        <v>306</v>
      </c>
      <c r="B94" s="53" t="s">
        <v>307</v>
      </c>
      <c r="C94" s="54" t="s">
        <v>84</v>
      </c>
      <c r="D94" s="53" t="s">
        <v>241</v>
      </c>
      <c r="M94" s="2"/>
    </row>
    <row r="95" spans="1:13" ht="14.4">
      <c r="A95" s="53" t="s">
        <v>308</v>
      </c>
      <c r="B95" s="53" t="s">
        <v>309</v>
      </c>
      <c r="C95" s="54" t="s">
        <v>84</v>
      </c>
      <c r="D95" s="53" t="s">
        <v>241</v>
      </c>
      <c r="G95" s="35"/>
    </row>
    <row r="96" spans="1:13" ht="14.4">
      <c r="A96" s="53" t="s">
        <v>310</v>
      </c>
      <c r="B96" s="53" t="s">
        <v>311</v>
      </c>
      <c r="C96" s="54" t="s">
        <v>90</v>
      </c>
      <c r="D96" s="53"/>
      <c r="F96" s="35"/>
      <c r="G96" s="35"/>
      <c r="M96" s="2"/>
    </row>
    <row r="97" spans="1:13" ht="14.4">
      <c r="A97" s="53" t="s">
        <v>312</v>
      </c>
      <c r="B97" s="53" t="s">
        <v>313</v>
      </c>
      <c r="C97" s="54" t="s">
        <v>84</v>
      </c>
      <c r="D97" s="53" t="s">
        <v>241</v>
      </c>
      <c r="M97" s="2"/>
    </row>
    <row r="98" spans="1:13" ht="14.4">
      <c r="A98" s="53" t="s">
        <v>314</v>
      </c>
      <c r="B98" s="53" t="s">
        <v>315</v>
      </c>
      <c r="C98" s="54" t="s">
        <v>85</v>
      </c>
      <c r="D98" s="53"/>
      <c r="E98" s="35"/>
      <c r="G98" s="35"/>
    </row>
    <row r="99" spans="1:13" ht="14.4">
      <c r="A99" s="53" t="s">
        <v>316</v>
      </c>
      <c r="B99" s="53" t="s">
        <v>317</v>
      </c>
      <c r="C99" s="54" t="s">
        <v>87</v>
      </c>
      <c r="D99" s="53" t="s">
        <v>318</v>
      </c>
      <c r="M99" s="2"/>
    </row>
    <row r="100" spans="1:13" ht="14.4">
      <c r="A100" s="53" t="s">
        <v>319</v>
      </c>
      <c r="B100" s="53" t="s">
        <v>320</v>
      </c>
      <c r="C100" s="54" t="s">
        <v>85</v>
      </c>
      <c r="D100" s="53"/>
    </row>
    <row r="101" spans="1:13" ht="14.4">
      <c r="A101" s="53" t="s">
        <v>321</v>
      </c>
      <c r="B101" s="53" t="s">
        <v>322</v>
      </c>
      <c r="C101" s="54" t="s">
        <v>90</v>
      </c>
      <c r="D101" s="53"/>
      <c r="H101" s="35"/>
    </row>
    <row r="102" spans="1:13" ht="14.4">
      <c r="A102" s="53" t="s">
        <v>323</v>
      </c>
      <c r="B102" s="53" t="s">
        <v>324</v>
      </c>
      <c r="C102" s="54" t="s">
        <v>89</v>
      </c>
      <c r="D102" s="53" t="s">
        <v>288</v>
      </c>
    </row>
    <row r="103" spans="1:13" ht="14.4">
      <c r="A103" s="53" t="s">
        <v>325</v>
      </c>
      <c r="B103" s="53" t="s">
        <v>326</v>
      </c>
      <c r="C103" s="54" t="s">
        <v>84</v>
      </c>
      <c r="D103" s="53" t="s">
        <v>268</v>
      </c>
    </row>
    <row r="104" spans="1:13" ht="14.4">
      <c r="A104" s="53" t="s">
        <v>327</v>
      </c>
      <c r="B104" s="53" t="s">
        <v>328</v>
      </c>
      <c r="C104" s="54" t="s">
        <v>84</v>
      </c>
      <c r="D104" s="53" t="s">
        <v>268</v>
      </c>
    </row>
    <row r="105" spans="1:13" ht="14.4">
      <c r="A105" s="53" t="s">
        <v>329</v>
      </c>
      <c r="B105" s="53" t="s">
        <v>330</v>
      </c>
      <c r="C105" s="54" t="s">
        <v>84</v>
      </c>
      <c r="D105" s="53" t="s">
        <v>268</v>
      </c>
      <c r="M105" s="2"/>
    </row>
    <row r="106" spans="1:13" ht="14.4">
      <c r="A106" s="53" t="s">
        <v>331</v>
      </c>
      <c r="B106" s="53" t="s">
        <v>332</v>
      </c>
      <c r="C106" s="54" t="s">
        <v>84</v>
      </c>
      <c r="D106" s="53" t="s">
        <v>268</v>
      </c>
      <c r="M106" s="2"/>
    </row>
    <row r="107" spans="1:13" ht="14.4">
      <c r="A107" s="53" t="s">
        <v>333</v>
      </c>
      <c r="B107" s="53" t="s">
        <v>334</v>
      </c>
      <c r="C107" s="54" t="s">
        <v>85</v>
      </c>
      <c r="D107" s="53"/>
      <c r="M107" s="2"/>
    </row>
    <row r="108" spans="1:13" ht="14.4">
      <c r="A108" s="53" t="s">
        <v>335</v>
      </c>
      <c r="B108" s="53" t="s">
        <v>336</v>
      </c>
      <c r="C108" s="54" t="s">
        <v>89</v>
      </c>
      <c r="D108" s="53" t="s">
        <v>337</v>
      </c>
      <c r="F108" s="35"/>
      <c r="M108" s="2"/>
    </row>
    <row r="109" spans="1:13" ht="14.4">
      <c r="A109" s="53" t="s">
        <v>338</v>
      </c>
      <c r="B109" s="53" t="s">
        <v>339</v>
      </c>
      <c r="C109" s="54" t="s">
        <v>89</v>
      </c>
      <c r="D109" s="53" t="s">
        <v>337</v>
      </c>
      <c r="G109" s="35"/>
    </row>
    <row r="110" spans="1:13" ht="14.4">
      <c r="A110" s="53" t="s">
        <v>340</v>
      </c>
      <c r="B110" s="53" t="s">
        <v>341</v>
      </c>
      <c r="C110" s="54" t="s">
        <v>89</v>
      </c>
      <c r="D110" s="53" t="s">
        <v>337</v>
      </c>
      <c r="M110" s="2"/>
    </row>
    <row r="111" spans="1:13" ht="14.4">
      <c r="A111" s="53" t="s">
        <v>342</v>
      </c>
      <c r="B111" s="53" t="s">
        <v>343</v>
      </c>
      <c r="C111" s="54" t="s">
        <v>84</v>
      </c>
      <c r="D111" s="53" t="s">
        <v>207</v>
      </c>
      <c r="F111" s="35"/>
      <c r="M111" s="2"/>
    </row>
    <row r="112" spans="1:13" ht="14.4">
      <c r="A112" s="53" t="s">
        <v>344</v>
      </c>
      <c r="B112" s="53" t="s">
        <v>345</v>
      </c>
      <c r="C112" s="54" t="s">
        <v>84</v>
      </c>
      <c r="D112" s="53" t="s">
        <v>268</v>
      </c>
    </row>
    <row r="113" spans="1:13" ht="14.4">
      <c r="A113" s="53" t="s">
        <v>346</v>
      </c>
      <c r="B113" s="53" t="s">
        <v>347</v>
      </c>
      <c r="C113" s="54" t="s">
        <v>84</v>
      </c>
      <c r="D113" s="53" t="s">
        <v>268</v>
      </c>
      <c r="M113" s="2"/>
    </row>
    <row r="114" spans="1:13" ht="14.4">
      <c r="A114" s="53" t="s">
        <v>348</v>
      </c>
      <c r="B114" s="53" t="s">
        <v>3150</v>
      </c>
      <c r="C114" s="54" t="s">
        <v>88</v>
      </c>
      <c r="D114" s="53"/>
    </row>
    <row r="115" spans="1:13" ht="14.4">
      <c r="A115" s="53" t="s">
        <v>349</v>
      </c>
      <c r="B115" s="53" t="s">
        <v>350</v>
      </c>
      <c r="C115" s="54" t="s">
        <v>85</v>
      </c>
      <c r="D115" s="53"/>
    </row>
    <row r="116" spans="1:13" ht="14.4">
      <c r="A116" s="53" t="s">
        <v>351</v>
      </c>
      <c r="B116" s="53" t="s">
        <v>352</v>
      </c>
      <c r="C116" s="54" t="s">
        <v>84</v>
      </c>
      <c r="D116" s="53" t="s">
        <v>241</v>
      </c>
      <c r="M116" s="2"/>
    </row>
    <row r="117" spans="1:13" ht="14.4">
      <c r="A117" s="53" t="s">
        <v>353</v>
      </c>
      <c r="B117" s="53" t="s">
        <v>354</v>
      </c>
      <c r="C117" s="54" t="s">
        <v>59</v>
      </c>
      <c r="D117" s="53"/>
      <c r="M117" s="2"/>
    </row>
    <row r="118" spans="1:13" ht="14.4">
      <c r="A118" s="53" t="s">
        <v>355</v>
      </c>
      <c r="B118" s="53" t="s">
        <v>356</v>
      </c>
      <c r="C118" s="54" t="s">
        <v>87</v>
      </c>
      <c r="D118" s="53" t="s">
        <v>256</v>
      </c>
      <c r="M118" s="2"/>
    </row>
    <row r="119" spans="1:13" ht="14.4">
      <c r="A119" s="53" t="s">
        <v>357</v>
      </c>
      <c r="B119" s="53" t="s">
        <v>358</v>
      </c>
      <c r="C119" s="54" t="s">
        <v>88</v>
      </c>
      <c r="D119" s="53"/>
      <c r="M119" s="2"/>
    </row>
    <row r="120" spans="1:13" ht="14.4">
      <c r="A120" s="53" t="s">
        <v>359</v>
      </c>
      <c r="B120" s="53" t="s">
        <v>360</v>
      </c>
      <c r="C120" s="54" t="s">
        <v>85</v>
      </c>
      <c r="D120" s="53"/>
    </row>
    <row r="121" spans="1:13" ht="14.4">
      <c r="A121" s="53" t="s">
        <v>361</v>
      </c>
      <c r="B121" s="53" t="s">
        <v>362</v>
      </c>
      <c r="C121" s="54" t="s">
        <v>84</v>
      </c>
      <c r="D121" s="53" t="s">
        <v>268</v>
      </c>
    </row>
    <row r="122" spans="1:13" ht="14.4">
      <c r="A122" s="53" t="s">
        <v>3154</v>
      </c>
      <c r="B122" s="53" t="s">
        <v>3155</v>
      </c>
      <c r="C122" s="54" t="s">
        <v>84</v>
      </c>
      <c r="D122" s="53" t="s">
        <v>268</v>
      </c>
      <c r="H122" s="35"/>
    </row>
    <row r="123" spans="1:13" ht="14.4">
      <c r="A123" s="53" t="s">
        <v>363</v>
      </c>
      <c r="B123" s="53" t="s">
        <v>364</v>
      </c>
      <c r="C123" s="54" t="s">
        <v>84</v>
      </c>
      <c r="D123" s="53" t="s">
        <v>268</v>
      </c>
      <c r="H123" s="35"/>
      <c r="M123" s="2"/>
    </row>
    <row r="124" spans="1:13" ht="14.4">
      <c r="A124" s="53" t="s">
        <v>365</v>
      </c>
      <c r="B124" s="53" t="s">
        <v>366</v>
      </c>
      <c r="C124" s="54" t="s">
        <v>84</v>
      </c>
      <c r="D124" s="53" t="s">
        <v>268</v>
      </c>
      <c r="H124" s="35"/>
      <c r="M124" s="2"/>
    </row>
    <row r="125" spans="1:13" ht="14.4">
      <c r="A125" s="53" t="s">
        <v>367</v>
      </c>
      <c r="B125" s="53" t="s">
        <v>368</v>
      </c>
      <c r="C125" s="54" t="s">
        <v>84</v>
      </c>
      <c r="D125" s="53" t="s">
        <v>268</v>
      </c>
      <c r="M125" s="2"/>
    </row>
    <row r="126" spans="1:13" ht="14.4">
      <c r="A126" s="53" t="s">
        <v>369</v>
      </c>
      <c r="B126" s="53" t="s">
        <v>370</v>
      </c>
      <c r="C126" s="54" t="s">
        <v>84</v>
      </c>
      <c r="D126" s="53" t="s">
        <v>268</v>
      </c>
    </row>
    <row r="127" spans="1:13" ht="14.4">
      <c r="A127" s="53" t="s">
        <v>371</v>
      </c>
      <c r="B127" s="53" t="s">
        <v>372</v>
      </c>
      <c r="C127" s="54" t="s">
        <v>84</v>
      </c>
      <c r="D127" s="53" t="s">
        <v>268</v>
      </c>
    </row>
    <row r="128" spans="1:13" ht="14.4">
      <c r="A128" s="53" t="s">
        <v>373</v>
      </c>
      <c r="B128" s="53" t="s">
        <v>374</v>
      </c>
      <c r="C128" s="54" t="s">
        <v>84</v>
      </c>
      <c r="D128" s="53" t="s">
        <v>268</v>
      </c>
    </row>
    <row r="129" spans="1:13" ht="14.4">
      <c r="A129" s="53" t="s">
        <v>375</v>
      </c>
      <c r="B129" s="53" t="s">
        <v>376</v>
      </c>
      <c r="C129" s="54" t="s">
        <v>84</v>
      </c>
      <c r="D129" s="53" t="s">
        <v>268</v>
      </c>
      <c r="M129" s="2"/>
    </row>
    <row r="130" spans="1:13" ht="14.4">
      <c r="A130" s="53" t="s">
        <v>377</v>
      </c>
      <c r="B130" s="53" t="s">
        <v>378</v>
      </c>
      <c r="C130" s="54" t="s">
        <v>84</v>
      </c>
      <c r="D130" s="53" t="s">
        <v>268</v>
      </c>
      <c r="F130" s="35"/>
    </row>
    <row r="131" spans="1:13" ht="14.4">
      <c r="A131" s="53" t="s">
        <v>379</v>
      </c>
      <c r="B131" s="53" t="s">
        <v>380</v>
      </c>
      <c r="C131" s="54" t="s">
        <v>84</v>
      </c>
      <c r="D131" s="53" t="s">
        <v>268</v>
      </c>
      <c r="F131" s="35"/>
      <c r="M131" s="2"/>
    </row>
    <row r="132" spans="1:13" ht="14.4">
      <c r="A132" s="53" t="s">
        <v>381</v>
      </c>
      <c r="B132" s="53" t="s">
        <v>382</v>
      </c>
      <c r="C132" s="54" t="s">
        <v>88</v>
      </c>
      <c r="D132" s="53"/>
      <c r="F132" s="35"/>
      <c r="M132" s="2"/>
    </row>
    <row r="133" spans="1:13" ht="14.4">
      <c r="A133" s="53" t="s">
        <v>383</v>
      </c>
      <c r="B133" s="53" t="s">
        <v>384</v>
      </c>
      <c r="C133" s="54" t="s">
        <v>85</v>
      </c>
      <c r="D133" s="53"/>
      <c r="F133" s="35"/>
      <c r="M133" s="2"/>
    </row>
    <row r="134" spans="1:13" ht="14.4">
      <c r="A134" s="53" t="s">
        <v>385</v>
      </c>
      <c r="B134" s="53" t="s">
        <v>386</v>
      </c>
      <c r="C134" s="54" t="s">
        <v>89</v>
      </c>
      <c r="D134" s="53" t="s">
        <v>387</v>
      </c>
      <c r="G134" s="35"/>
      <c r="M134" s="2"/>
    </row>
    <row r="135" spans="1:13" ht="14.4">
      <c r="A135" s="53" t="s">
        <v>388</v>
      </c>
      <c r="B135" s="53" t="s">
        <v>389</v>
      </c>
      <c r="C135" s="54" t="s">
        <v>89</v>
      </c>
      <c r="D135" s="53" t="s">
        <v>387</v>
      </c>
      <c r="H135" s="35"/>
      <c r="M135" s="2"/>
    </row>
    <row r="136" spans="1:13" ht="14.4">
      <c r="A136" s="53" t="s">
        <v>390</v>
      </c>
      <c r="B136" s="53" t="s">
        <v>391</v>
      </c>
      <c r="C136" s="54" t="s">
        <v>89</v>
      </c>
      <c r="D136" s="53" t="s">
        <v>387</v>
      </c>
      <c r="M136" s="2"/>
    </row>
    <row r="137" spans="1:13" ht="14.4">
      <c r="A137" s="53" t="s">
        <v>392</v>
      </c>
      <c r="B137" s="53" t="s">
        <v>393</v>
      </c>
      <c r="C137" s="54" t="s">
        <v>89</v>
      </c>
      <c r="D137" s="53" t="s">
        <v>387</v>
      </c>
    </row>
    <row r="138" spans="1:13" ht="14.4">
      <c r="A138" s="53" t="s">
        <v>394</v>
      </c>
      <c r="B138" s="53" t="s">
        <v>395</v>
      </c>
      <c r="C138" s="54" t="s">
        <v>89</v>
      </c>
      <c r="D138" s="53" t="s">
        <v>387</v>
      </c>
      <c r="M138" s="2"/>
    </row>
    <row r="139" spans="1:13" ht="14.4">
      <c r="A139" s="53" t="s">
        <v>396</v>
      </c>
      <c r="B139" s="53" t="s">
        <v>397</v>
      </c>
      <c r="C139" s="54" t="s">
        <v>89</v>
      </c>
      <c r="D139" s="53" t="s">
        <v>387</v>
      </c>
      <c r="M139" s="2"/>
    </row>
    <row r="140" spans="1:13" ht="14.4">
      <c r="A140" s="53" t="s">
        <v>398</v>
      </c>
      <c r="B140" s="53" t="s">
        <v>399</v>
      </c>
      <c r="C140" s="54" t="s">
        <v>90</v>
      </c>
      <c r="D140" s="53"/>
      <c r="M140" s="2"/>
    </row>
    <row r="141" spans="1:13" ht="14.4">
      <c r="A141" s="53" t="s">
        <v>400</v>
      </c>
      <c r="B141" s="53" t="s">
        <v>401</v>
      </c>
      <c r="C141" s="54" t="s">
        <v>88</v>
      </c>
      <c r="D141" s="53"/>
    </row>
    <row r="142" spans="1:13" ht="14.4">
      <c r="A142" s="53" t="s">
        <v>402</v>
      </c>
      <c r="B142" s="53" t="s">
        <v>403</v>
      </c>
      <c r="C142" s="54" t="s">
        <v>89</v>
      </c>
      <c r="D142" s="53" t="s">
        <v>288</v>
      </c>
      <c r="M142" s="2"/>
    </row>
    <row r="143" spans="1:13" ht="14.4">
      <c r="A143" s="53" t="s">
        <v>404</v>
      </c>
      <c r="B143" s="53" t="s">
        <v>405</v>
      </c>
      <c r="C143" s="54" t="s">
        <v>87</v>
      </c>
      <c r="D143" s="53" t="s">
        <v>1744</v>
      </c>
      <c r="G143" s="35"/>
      <c r="M143" s="2"/>
    </row>
    <row r="144" spans="1:13" ht="14.4">
      <c r="A144" s="53" t="s">
        <v>406</v>
      </c>
      <c r="B144" s="53" t="s">
        <v>407</v>
      </c>
      <c r="C144" s="54" t="s">
        <v>89</v>
      </c>
      <c r="D144" s="53" t="s">
        <v>288</v>
      </c>
    </row>
    <row r="145" spans="1:13" ht="14.4">
      <c r="A145" s="53" t="s">
        <v>408</v>
      </c>
      <c r="B145" s="53" t="s">
        <v>409</v>
      </c>
      <c r="C145" s="54" t="s">
        <v>89</v>
      </c>
      <c r="D145" s="53" t="s">
        <v>288</v>
      </c>
      <c r="M145" s="2"/>
    </row>
    <row r="146" spans="1:13" ht="14.4">
      <c r="A146" s="53" t="s">
        <v>410</v>
      </c>
      <c r="B146" s="53" t="s">
        <v>411</v>
      </c>
      <c r="C146" s="54" t="s">
        <v>89</v>
      </c>
      <c r="D146" s="53" t="s">
        <v>288</v>
      </c>
      <c r="M146" s="2"/>
    </row>
    <row r="147" spans="1:13" ht="14.4">
      <c r="A147" s="53" t="s">
        <v>412</v>
      </c>
      <c r="B147" s="53" t="s">
        <v>413</v>
      </c>
      <c r="C147" s="54" t="s">
        <v>59</v>
      </c>
      <c r="D147" s="53" t="s">
        <v>288</v>
      </c>
    </row>
    <row r="148" spans="1:13" ht="14.4">
      <c r="A148" s="53" t="s">
        <v>414</v>
      </c>
      <c r="B148" s="53" t="s">
        <v>415</v>
      </c>
      <c r="C148" s="54" t="s">
        <v>88</v>
      </c>
      <c r="D148" s="53"/>
    </row>
    <row r="149" spans="1:13" ht="14.4">
      <c r="A149" s="53" t="s">
        <v>416</v>
      </c>
      <c r="B149" s="53" t="s">
        <v>417</v>
      </c>
      <c r="C149" s="54" t="s">
        <v>89</v>
      </c>
      <c r="D149" s="53" t="s">
        <v>265</v>
      </c>
    </row>
    <row r="150" spans="1:13" ht="14.4">
      <c r="A150" s="53" t="s">
        <v>418</v>
      </c>
      <c r="B150" s="53" t="s">
        <v>419</v>
      </c>
      <c r="C150" s="54" t="s">
        <v>89</v>
      </c>
      <c r="D150" s="53" t="s">
        <v>265</v>
      </c>
      <c r="M150" s="2"/>
    </row>
    <row r="151" spans="1:13" ht="14.4">
      <c r="A151" s="53" t="s">
        <v>420</v>
      </c>
      <c r="B151" s="53" t="s">
        <v>421</v>
      </c>
      <c r="C151" s="54" t="s">
        <v>88</v>
      </c>
      <c r="D151" s="53"/>
      <c r="M151" s="2"/>
    </row>
    <row r="152" spans="1:13" ht="14.4">
      <c r="A152" s="53" t="s">
        <v>422</v>
      </c>
      <c r="B152" s="53" t="s">
        <v>423</v>
      </c>
      <c r="C152" s="54" t="s">
        <v>87</v>
      </c>
      <c r="D152" s="53" t="s">
        <v>256</v>
      </c>
      <c r="M152" s="2"/>
    </row>
    <row r="153" spans="1:13" ht="14.4">
      <c r="A153" s="53" t="s">
        <v>424</v>
      </c>
      <c r="B153" s="53" t="s">
        <v>425</v>
      </c>
      <c r="C153" s="54" t="s">
        <v>87</v>
      </c>
      <c r="D153" s="53" t="s">
        <v>256</v>
      </c>
      <c r="M153" s="2"/>
    </row>
    <row r="154" spans="1:13" ht="14.4">
      <c r="A154" s="53" t="s">
        <v>426</v>
      </c>
      <c r="B154" s="53" t="s">
        <v>427</v>
      </c>
      <c r="C154" s="54" t="s">
        <v>84</v>
      </c>
      <c r="D154" s="53" t="s">
        <v>268</v>
      </c>
      <c r="F154" s="35"/>
      <c r="M154" s="2"/>
    </row>
    <row r="155" spans="1:13" ht="14.4">
      <c r="A155" s="53" t="s">
        <v>428</v>
      </c>
      <c r="B155" s="53" t="s">
        <v>429</v>
      </c>
      <c r="C155" s="54" t="s">
        <v>84</v>
      </c>
      <c r="D155" s="53" t="s">
        <v>268</v>
      </c>
      <c r="F155" s="35"/>
      <c r="M155" s="2"/>
    </row>
    <row r="156" spans="1:13" ht="14.4">
      <c r="A156" s="53" t="s">
        <v>430</v>
      </c>
      <c r="B156" s="53" t="s">
        <v>431</v>
      </c>
      <c r="C156" s="54" t="s">
        <v>84</v>
      </c>
      <c r="D156" s="53" t="s">
        <v>268</v>
      </c>
      <c r="F156" s="35"/>
      <c r="M156" s="2"/>
    </row>
    <row r="157" spans="1:13" ht="14.4">
      <c r="A157" s="53" t="s">
        <v>432</v>
      </c>
      <c r="B157" s="53" t="s">
        <v>433</v>
      </c>
      <c r="C157" s="54" t="s">
        <v>84</v>
      </c>
      <c r="D157" s="53" t="s">
        <v>268</v>
      </c>
      <c r="F157" s="35"/>
    </row>
    <row r="158" spans="1:13" ht="14.4">
      <c r="A158" s="53" t="s">
        <v>434</v>
      </c>
      <c r="B158" s="53" t="s">
        <v>435</v>
      </c>
      <c r="C158" s="54" t="s">
        <v>84</v>
      </c>
      <c r="D158" s="53" t="s">
        <v>268</v>
      </c>
      <c r="F158" s="35"/>
      <c r="M158" s="2"/>
    </row>
    <row r="159" spans="1:13" ht="14.4">
      <c r="A159" s="53" t="s">
        <v>436</v>
      </c>
      <c r="B159" s="53" t="s">
        <v>437</v>
      </c>
      <c r="C159" s="54" t="s">
        <v>84</v>
      </c>
      <c r="D159" s="53" t="s">
        <v>268</v>
      </c>
      <c r="F159" s="35"/>
      <c r="M159" s="2"/>
    </row>
    <row r="160" spans="1:13" ht="14.4">
      <c r="A160" s="53" t="s">
        <v>438</v>
      </c>
      <c r="B160" s="53" t="s">
        <v>439</v>
      </c>
      <c r="C160" s="54" t="s">
        <v>84</v>
      </c>
      <c r="D160" s="53" t="s">
        <v>268</v>
      </c>
      <c r="M160" s="2"/>
    </row>
    <row r="161" spans="1:13" ht="14.4">
      <c r="A161" s="53" t="s">
        <v>440</v>
      </c>
      <c r="B161" s="53" t="s">
        <v>441</v>
      </c>
      <c r="C161" s="54" t="s">
        <v>84</v>
      </c>
      <c r="D161" s="53" t="s">
        <v>268</v>
      </c>
      <c r="M161" s="2"/>
    </row>
    <row r="162" spans="1:13" ht="14.4">
      <c r="A162" s="53" t="s">
        <v>442</v>
      </c>
      <c r="B162" s="53" t="s">
        <v>443</v>
      </c>
      <c r="C162" s="54" t="s">
        <v>84</v>
      </c>
      <c r="D162" s="53" t="s">
        <v>268</v>
      </c>
      <c r="M162" s="2"/>
    </row>
    <row r="163" spans="1:13" ht="14.4">
      <c r="A163" s="53" t="s">
        <v>444</v>
      </c>
      <c r="B163" s="53" t="s">
        <v>445</v>
      </c>
      <c r="C163" s="54" t="s">
        <v>84</v>
      </c>
      <c r="D163" s="53" t="s">
        <v>268</v>
      </c>
      <c r="M163" s="2"/>
    </row>
    <row r="164" spans="1:13" ht="14.4">
      <c r="A164" s="53" t="s">
        <v>446</v>
      </c>
      <c r="B164" s="53" t="s">
        <v>447</v>
      </c>
      <c r="C164" s="54" t="s">
        <v>84</v>
      </c>
      <c r="D164" s="53" t="s">
        <v>268</v>
      </c>
      <c r="M164" s="2"/>
    </row>
    <row r="165" spans="1:13" ht="14.4">
      <c r="A165" s="53" t="s">
        <v>448</v>
      </c>
      <c r="B165" s="53" t="s">
        <v>449</v>
      </c>
      <c r="C165" s="54" t="s">
        <v>84</v>
      </c>
      <c r="D165" s="53" t="s">
        <v>268</v>
      </c>
      <c r="M165" s="2"/>
    </row>
    <row r="166" spans="1:13" ht="14.4">
      <c r="A166" s="53" t="s">
        <v>450</v>
      </c>
      <c r="B166" s="53" t="s">
        <v>451</v>
      </c>
      <c r="C166" s="54" t="s">
        <v>84</v>
      </c>
      <c r="D166" s="53" t="s">
        <v>268</v>
      </c>
    </row>
    <row r="167" spans="1:13" ht="14.4">
      <c r="A167" s="53" t="s">
        <v>452</v>
      </c>
      <c r="B167" s="53" t="s">
        <v>453</v>
      </c>
      <c r="C167" s="54" t="s">
        <v>84</v>
      </c>
      <c r="D167" s="53" t="s">
        <v>268</v>
      </c>
    </row>
    <row r="168" spans="1:13" ht="14.4">
      <c r="A168" s="53" t="s">
        <v>454</v>
      </c>
      <c r="B168" s="53" t="s">
        <v>455</v>
      </c>
      <c r="C168" s="54" t="s">
        <v>84</v>
      </c>
      <c r="D168" s="53" t="s">
        <v>268</v>
      </c>
    </row>
    <row r="169" spans="1:13" ht="14.4">
      <c r="A169" s="53" t="s">
        <v>456</v>
      </c>
      <c r="B169" s="53" t="s">
        <v>457</v>
      </c>
      <c r="C169" s="54" t="s">
        <v>84</v>
      </c>
      <c r="D169" s="53" t="s">
        <v>268</v>
      </c>
      <c r="M169" s="2"/>
    </row>
    <row r="170" spans="1:13" ht="14.4">
      <c r="A170" s="53" t="s">
        <v>458</v>
      </c>
      <c r="B170" s="53" t="s">
        <v>459</v>
      </c>
      <c r="C170" s="54" t="s">
        <v>84</v>
      </c>
      <c r="D170" s="53" t="s">
        <v>268</v>
      </c>
      <c r="M170" s="2"/>
    </row>
    <row r="171" spans="1:13" ht="14.4">
      <c r="A171" s="53" t="s">
        <v>460</v>
      </c>
      <c r="B171" s="53" t="s">
        <v>461</v>
      </c>
      <c r="C171" s="54" t="s">
        <v>84</v>
      </c>
      <c r="D171" s="53" t="s">
        <v>268</v>
      </c>
      <c r="M171" s="2"/>
    </row>
    <row r="172" spans="1:13" ht="14.4">
      <c r="A172" s="53" t="s">
        <v>462</v>
      </c>
      <c r="B172" s="53" t="s">
        <v>463</v>
      </c>
      <c r="C172" s="54" t="s">
        <v>84</v>
      </c>
      <c r="D172" s="53" t="s">
        <v>268</v>
      </c>
      <c r="F172" s="35"/>
      <c r="M172" s="2"/>
    </row>
    <row r="173" spans="1:13" ht="14.4">
      <c r="A173" s="53" t="s">
        <v>3157</v>
      </c>
      <c r="B173" s="53" t="s">
        <v>3156</v>
      </c>
      <c r="C173" s="54" t="s">
        <v>89</v>
      </c>
      <c r="D173" s="53" t="s">
        <v>3093</v>
      </c>
      <c r="F173" s="35"/>
      <c r="M173" s="2"/>
    </row>
    <row r="174" spans="1:13" ht="14.4">
      <c r="A174" s="53" t="s">
        <v>464</v>
      </c>
      <c r="B174" s="53" t="s">
        <v>465</v>
      </c>
      <c r="C174" s="54" t="s">
        <v>85</v>
      </c>
      <c r="D174" s="53"/>
    </row>
    <row r="175" spans="1:13" ht="14.4">
      <c r="A175" s="53" t="s">
        <v>466</v>
      </c>
      <c r="B175" s="53" t="s">
        <v>467</v>
      </c>
      <c r="C175" s="54" t="s">
        <v>85</v>
      </c>
      <c r="D175" s="53"/>
      <c r="H175" s="35"/>
    </row>
    <row r="176" spans="1:13" ht="14.4">
      <c r="A176" s="53" t="s">
        <v>468</v>
      </c>
      <c r="B176" s="53" t="s">
        <v>469</v>
      </c>
      <c r="C176" s="54" t="s">
        <v>85</v>
      </c>
      <c r="D176" s="53"/>
      <c r="H176" s="35"/>
      <c r="M176" s="2"/>
    </row>
    <row r="177" spans="1:13" ht="14.4">
      <c r="A177" s="53" t="s">
        <v>470</v>
      </c>
      <c r="B177" s="53" t="s">
        <v>471</v>
      </c>
      <c r="C177" s="54" t="s">
        <v>85</v>
      </c>
      <c r="D177" s="53"/>
      <c r="H177" s="35"/>
      <c r="M177" s="2"/>
    </row>
    <row r="178" spans="1:13" ht="14.4">
      <c r="A178" s="53" t="s">
        <v>472</v>
      </c>
      <c r="B178" s="53" t="s">
        <v>473</v>
      </c>
      <c r="C178" s="54" t="s">
        <v>85</v>
      </c>
      <c r="D178" s="53"/>
    </row>
    <row r="179" spans="1:13" ht="14.4">
      <c r="A179" s="53" t="s">
        <v>474</v>
      </c>
      <c r="B179" s="53" t="s">
        <v>475</v>
      </c>
      <c r="C179" s="54" t="s">
        <v>85</v>
      </c>
      <c r="D179" s="53"/>
    </row>
    <row r="180" spans="1:13" ht="14.4">
      <c r="A180" s="53" t="s">
        <v>476</v>
      </c>
      <c r="B180" s="53" t="s">
        <v>477</v>
      </c>
      <c r="C180" s="54" t="s">
        <v>87</v>
      </c>
      <c r="D180" s="53" t="s">
        <v>256</v>
      </c>
    </row>
    <row r="181" spans="1:13" ht="14.4">
      <c r="A181" s="53" t="s">
        <v>478</v>
      </c>
      <c r="B181" s="53" t="s">
        <v>479</v>
      </c>
      <c r="C181" s="54" t="s">
        <v>87</v>
      </c>
      <c r="D181" s="53" t="s">
        <v>256</v>
      </c>
    </row>
    <row r="182" spans="1:13" ht="14.4">
      <c r="A182" s="53" t="s">
        <v>480</v>
      </c>
      <c r="B182" s="53" t="s">
        <v>481</v>
      </c>
      <c r="C182" s="54" t="s">
        <v>87</v>
      </c>
      <c r="D182" s="53" t="s">
        <v>256</v>
      </c>
    </row>
    <row r="183" spans="1:13" ht="14.4">
      <c r="A183" s="53" t="s">
        <v>482</v>
      </c>
      <c r="B183" s="53" t="s">
        <v>483</v>
      </c>
      <c r="C183" s="54" t="s">
        <v>85</v>
      </c>
      <c r="D183" s="53"/>
    </row>
    <row r="184" spans="1:13" ht="14.4">
      <c r="A184" s="53" t="s">
        <v>484</v>
      </c>
      <c r="B184" s="53" t="s">
        <v>485</v>
      </c>
      <c r="C184" s="54" t="s">
        <v>87</v>
      </c>
      <c r="D184" s="53" t="s">
        <v>256</v>
      </c>
      <c r="H184" s="35"/>
    </row>
    <row r="185" spans="1:13" ht="14.4">
      <c r="A185" s="53" t="s">
        <v>486</v>
      </c>
      <c r="B185" s="53" t="s">
        <v>487</v>
      </c>
      <c r="C185" s="54" t="s">
        <v>87</v>
      </c>
      <c r="D185" s="53" t="s">
        <v>256</v>
      </c>
      <c r="H185" s="35"/>
    </row>
    <row r="186" spans="1:13" ht="14.4">
      <c r="A186" s="53" t="s">
        <v>488</v>
      </c>
      <c r="B186" s="53" t="s">
        <v>489</v>
      </c>
      <c r="C186" s="54" t="s">
        <v>88</v>
      </c>
      <c r="D186" s="53"/>
      <c r="H186" s="35"/>
      <c r="M186" s="2"/>
    </row>
    <row r="187" spans="1:13" ht="14.4">
      <c r="A187" s="53" t="s">
        <v>490</v>
      </c>
      <c r="B187" s="53" t="s">
        <v>491</v>
      </c>
      <c r="C187" s="54" t="s">
        <v>88</v>
      </c>
      <c r="D187" s="53"/>
      <c r="G187" s="35"/>
      <c r="M187" s="2"/>
    </row>
    <row r="188" spans="1:13" ht="14.4">
      <c r="A188" s="53" t="s">
        <v>492</v>
      </c>
      <c r="B188" s="53" t="s">
        <v>493</v>
      </c>
      <c r="C188" s="54" t="s">
        <v>87</v>
      </c>
      <c r="D188" s="53" t="s">
        <v>256</v>
      </c>
      <c r="M188" s="2"/>
    </row>
    <row r="189" spans="1:13" ht="14.4">
      <c r="A189" s="53" t="s">
        <v>494</v>
      </c>
      <c r="B189" s="53" t="s">
        <v>495</v>
      </c>
      <c r="C189" s="54" t="s">
        <v>89</v>
      </c>
      <c r="D189" s="53" t="s">
        <v>265</v>
      </c>
    </row>
    <row r="190" spans="1:13" ht="14.4">
      <c r="A190" s="53" t="s">
        <v>496</v>
      </c>
      <c r="B190" s="53" t="s">
        <v>497</v>
      </c>
      <c r="C190" s="54" t="s">
        <v>89</v>
      </c>
      <c r="D190" s="53" t="s">
        <v>265</v>
      </c>
    </row>
    <row r="191" spans="1:13" ht="14.4">
      <c r="A191" s="53" t="s">
        <v>498</v>
      </c>
      <c r="B191" s="53" t="s">
        <v>499</v>
      </c>
      <c r="C191" s="54" t="s">
        <v>84</v>
      </c>
      <c r="D191" s="53" t="s">
        <v>241</v>
      </c>
    </row>
    <row r="192" spans="1:13" ht="14.4">
      <c r="A192" s="53" t="s">
        <v>500</v>
      </c>
      <c r="B192" s="53" t="s">
        <v>501</v>
      </c>
      <c r="C192" s="54" t="s">
        <v>84</v>
      </c>
      <c r="D192" s="53" t="s">
        <v>241</v>
      </c>
    </row>
    <row r="193" spans="1:13" ht="14.4">
      <c r="A193" s="53" t="s">
        <v>502</v>
      </c>
      <c r="B193" s="53" t="s">
        <v>503</v>
      </c>
      <c r="C193" s="54" t="s">
        <v>84</v>
      </c>
      <c r="D193" s="53" t="s">
        <v>241</v>
      </c>
    </row>
    <row r="194" spans="1:13" ht="14.4">
      <c r="A194" s="53" t="s">
        <v>504</v>
      </c>
      <c r="B194" s="53" t="s">
        <v>505</v>
      </c>
      <c r="C194" s="54" t="s">
        <v>84</v>
      </c>
      <c r="D194" s="53" t="s">
        <v>241</v>
      </c>
      <c r="G194" s="35"/>
    </row>
    <row r="195" spans="1:13" ht="14.4">
      <c r="A195" s="53" t="s">
        <v>506</v>
      </c>
      <c r="B195" s="53" t="s">
        <v>507</v>
      </c>
      <c r="C195" s="54" t="s">
        <v>89</v>
      </c>
      <c r="D195" s="53" t="s">
        <v>121</v>
      </c>
      <c r="G195" s="35"/>
    </row>
    <row r="196" spans="1:13" ht="14.4">
      <c r="A196" s="53" t="s">
        <v>508</v>
      </c>
      <c r="B196" s="53" t="s">
        <v>509</v>
      </c>
      <c r="C196" s="54" t="s">
        <v>89</v>
      </c>
      <c r="D196" s="53" t="s">
        <v>130</v>
      </c>
      <c r="M196" s="2"/>
    </row>
    <row r="197" spans="1:13" ht="14.4">
      <c r="A197" s="53" t="s">
        <v>510</v>
      </c>
      <c r="B197" s="53" t="s">
        <v>511</v>
      </c>
      <c r="C197" s="54" t="s">
        <v>89</v>
      </c>
      <c r="D197" s="53" t="s">
        <v>130</v>
      </c>
      <c r="M197" s="2"/>
    </row>
    <row r="198" spans="1:13" ht="14.4">
      <c r="A198" s="53" t="s">
        <v>512</v>
      </c>
      <c r="B198" s="53" t="s">
        <v>513</v>
      </c>
      <c r="C198" s="54" t="s">
        <v>89</v>
      </c>
      <c r="D198" s="53" t="s">
        <v>130</v>
      </c>
    </row>
    <row r="199" spans="1:13" ht="14.4">
      <c r="A199" s="53" t="s">
        <v>514</v>
      </c>
      <c r="B199" s="53" t="s">
        <v>515</v>
      </c>
      <c r="C199" s="54" t="s">
        <v>89</v>
      </c>
      <c r="D199" s="53" t="s">
        <v>130</v>
      </c>
    </row>
    <row r="200" spans="1:13" ht="14.4">
      <c r="A200" s="53" t="s">
        <v>516</v>
      </c>
      <c r="B200" s="53" t="s">
        <v>517</v>
      </c>
      <c r="C200" s="54" t="s">
        <v>89</v>
      </c>
      <c r="D200" s="53" t="s">
        <v>130</v>
      </c>
    </row>
    <row r="201" spans="1:13" ht="14.4">
      <c r="A201" s="53" t="s">
        <v>518</v>
      </c>
      <c r="B201" s="53" t="s">
        <v>519</v>
      </c>
      <c r="C201" s="54" t="s">
        <v>89</v>
      </c>
      <c r="D201" s="53" t="s">
        <v>130</v>
      </c>
    </row>
    <row r="202" spans="1:13" ht="14.4">
      <c r="A202" s="53" t="s">
        <v>520</v>
      </c>
      <c r="B202" s="53" t="s">
        <v>521</v>
      </c>
      <c r="C202" s="54" t="s">
        <v>89</v>
      </c>
      <c r="D202" s="53" t="s">
        <v>130</v>
      </c>
    </row>
    <row r="203" spans="1:13" ht="14.4">
      <c r="A203" s="53" t="s">
        <v>522</v>
      </c>
      <c r="B203" s="53" t="s">
        <v>523</v>
      </c>
      <c r="C203" s="54" t="s">
        <v>87</v>
      </c>
      <c r="D203" s="53" t="s">
        <v>524</v>
      </c>
    </row>
    <row r="204" spans="1:13" ht="14.4">
      <c r="A204" s="53" t="s">
        <v>525</v>
      </c>
      <c r="B204" s="53" t="s">
        <v>526</v>
      </c>
      <c r="C204" s="54" t="s">
        <v>87</v>
      </c>
      <c r="D204" s="53" t="s">
        <v>524</v>
      </c>
    </row>
    <row r="205" spans="1:13" ht="14.4">
      <c r="A205" s="53" t="s">
        <v>527</v>
      </c>
      <c r="B205" s="53" t="s">
        <v>528</v>
      </c>
      <c r="C205" s="54" t="s">
        <v>87</v>
      </c>
      <c r="D205" s="53" t="s">
        <v>524</v>
      </c>
      <c r="M205" s="2"/>
    </row>
    <row r="206" spans="1:13" ht="14.4">
      <c r="A206" s="53" t="s">
        <v>529</v>
      </c>
      <c r="B206" s="53" t="s">
        <v>530</v>
      </c>
      <c r="C206" s="54" t="s">
        <v>87</v>
      </c>
      <c r="D206" s="53" t="s">
        <v>256</v>
      </c>
      <c r="M206" s="2"/>
    </row>
    <row r="207" spans="1:13" ht="14.4">
      <c r="A207" s="53" t="s">
        <v>531</v>
      </c>
      <c r="B207" s="53" t="s">
        <v>532</v>
      </c>
      <c r="C207" s="54" t="s">
        <v>87</v>
      </c>
      <c r="D207" s="53" t="s">
        <v>256</v>
      </c>
      <c r="L207" s="2"/>
      <c r="M207" s="2"/>
    </row>
    <row r="208" spans="1:13" ht="14.4">
      <c r="A208" s="53" t="s">
        <v>533</v>
      </c>
      <c r="B208" s="53" t="s">
        <v>534</v>
      </c>
      <c r="C208" s="54" t="s">
        <v>85</v>
      </c>
      <c r="D208" s="53"/>
    </row>
    <row r="209" spans="1:13" ht="14.4">
      <c r="A209" s="53" t="s">
        <v>535</v>
      </c>
      <c r="B209" s="53" t="s">
        <v>536</v>
      </c>
      <c r="C209" s="54" t="s">
        <v>89</v>
      </c>
      <c r="D209" s="53" t="s">
        <v>288</v>
      </c>
    </row>
    <row r="210" spans="1:13" ht="14.4">
      <c r="A210" s="53" t="s">
        <v>537</v>
      </c>
      <c r="B210" s="53" t="s">
        <v>538</v>
      </c>
      <c r="C210" s="54" t="s">
        <v>89</v>
      </c>
      <c r="D210" s="53" t="s">
        <v>288</v>
      </c>
    </row>
    <row r="211" spans="1:13" ht="14.4">
      <c r="A211" s="53" t="s">
        <v>539</v>
      </c>
      <c r="B211" s="53" t="s">
        <v>540</v>
      </c>
      <c r="C211" s="54" t="s">
        <v>89</v>
      </c>
      <c r="D211" s="53" t="s">
        <v>288</v>
      </c>
      <c r="M211" s="2"/>
    </row>
    <row r="212" spans="1:13" ht="14.4">
      <c r="A212" s="53" t="s">
        <v>541</v>
      </c>
      <c r="B212" s="53" t="s">
        <v>542</v>
      </c>
      <c r="C212" s="54" t="s">
        <v>89</v>
      </c>
      <c r="D212" s="53" t="s">
        <v>288</v>
      </c>
      <c r="M212" s="2"/>
    </row>
    <row r="213" spans="1:13" ht="14.4">
      <c r="A213" s="53" t="s">
        <v>543</v>
      </c>
      <c r="B213" s="53" t="s">
        <v>544</v>
      </c>
      <c r="C213" s="54" t="s">
        <v>89</v>
      </c>
      <c r="D213" s="53" t="s">
        <v>288</v>
      </c>
      <c r="M213" s="2"/>
    </row>
    <row r="214" spans="1:13" ht="14.4">
      <c r="A214" s="53" t="s">
        <v>545</v>
      </c>
      <c r="B214" s="53" t="s">
        <v>546</v>
      </c>
      <c r="C214" s="54" t="s">
        <v>89</v>
      </c>
      <c r="D214" s="53" t="s">
        <v>288</v>
      </c>
      <c r="F214" s="35"/>
      <c r="H214" s="35"/>
      <c r="M214" s="2"/>
    </row>
    <row r="215" spans="1:13" ht="14.4">
      <c r="A215" s="53" t="s">
        <v>547</v>
      </c>
      <c r="B215" s="53" t="s">
        <v>548</v>
      </c>
      <c r="C215" s="54" t="s">
        <v>89</v>
      </c>
      <c r="D215" s="53" t="s">
        <v>288</v>
      </c>
      <c r="F215" s="35"/>
      <c r="M215" s="2"/>
    </row>
    <row r="216" spans="1:13" ht="14.4">
      <c r="A216" s="53" t="s">
        <v>549</v>
      </c>
      <c r="B216" s="53" t="s">
        <v>550</v>
      </c>
      <c r="C216" s="54" t="s">
        <v>89</v>
      </c>
      <c r="D216" s="53" t="s">
        <v>288</v>
      </c>
      <c r="F216" s="35"/>
      <c r="M216" s="2"/>
    </row>
    <row r="217" spans="1:13" ht="14.4">
      <c r="A217" s="53" t="s">
        <v>551</v>
      </c>
      <c r="B217" s="53" t="s">
        <v>552</v>
      </c>
      <c r="C217" s="54" t="s">
        <v>89</v>
      </c>
      <c r="D217" s="53" t="s">
        <v>288</v>
      </c>
      <c r="M217" s="2"/>
    </row>
    <row r="218" spans="1:13" ht="14.4">
      <c r="A218" s="53" t="s">
        <v>553</v>
      </c>
      <c r="B218" s="53" t="s">
        <v>554</v>
      </c>
      <c r="C218" s="54" t="s">
        <v>89</v>
      </c>
      <c r="D218" s="53" t="s">
        <v>288</v>
      </c>
      <c r="M218" s="2"/>
    </row>
    <row r="219" spans="1:13" ht="14.4">
      <c r="A219" s="53" t="s">
        <v>555</v>
      </c>
      <c r="B219" s="53" t="s">
        <v>556</v>
      </c>
      <c r="C219" s="54" t="s">
        <v>89</v>
      </c>
      <c r="D219" s="53" t="s">
        <v>288</v>
      </c>
      <c r="M219" s="2"/>
    </row>
    <row r="220" spans="1:13" ht="14.4">
      <c r="A220" s="53" t="s">
        <v>557</v>
      </c>
      <c r="B220" s="53" t="s">
        <v>558</v>
      </c>
      <c r="C220" s="54" t="s">
        <v>89</v>
      </c>
      <c r="D220" s="53" t="s">
        <v>288</v>
      </c>
      <c r="M220" s="2"/>
    </row>
    <row r="221" spans="1:13" ht="14.4">
      <c r="A221" s="53" t="s">
        <v>559</v>
      </c>
      <c r="B221" s="53" t="s">
        <v>560</v>
      </c>
      <c r="C221" s="54" t="s">
        <v>89</v>
      </c>
      <c r="D221" s="53" t="s">
        <v>288</v>
      </c>
      <c r="M221" s="2"/>
    </row>
    <row r="222" spans="1:13" ht="14.4">
      <c r="A222" s="53" t="s">
        <v>561</v>
      </c>
      <c r="B222" s="53" t="s">
        <v>562</v>
      </c>
      <c r="C222" s="54" t="s">
        <v>89</v>
      </c>
      <c r="D222" s="53" t="s">
        <v>288</v>
      </c>
      <c r="M222" s="2"/>
    </row>
    <row r="223" spans="1:13" ht="14.4">
      <c r="A223" s="53" t="s">
        <v>563</v>
      </c>
      <c r="B223" s="53" t="s">
        <v>564</v>
      </c>
      <c r="C223" s="54" t="s">
        <v>89</v>
      </c>
      <c r="D223" s="53" t="s">
        <v>288</v>
      </c>
      <c r="M223" s="2"/>
    </row>
    <row r="224" spans="1:13" ht="14.4">
      <c r="A224" s="53" t="s">
        <v>565</v>
      </c>
      <c r="B224" s="53" t="s">
        <v>566</v>
      </c>
      <c r="C224" s="54" t="s">
        <v>89</v>
      </c>
      <c r="D224" s="53" t="s">
        <v>288</v>
      </c>
      <c r="M224" s="2"/>
    </row>
    <row r="225" spans="1:13" ht="14.4">
      <c r="A225" s="53" t="s">
        <v>567</v>
      </c>
      <c r="B225" s="53" t="s">
        <v>568</v>
      </c>
      <c r="C225" s="54" t="s">
        <v>89</v>
      </c>
      <c r="D225" s="53" t="s">
        <v>288</v>
      </c>
      <c r="M225" s="2"/>
    </row>
    <row r="226" spans="1:13" ht="14.4">
      <c r="A226" s="53" t="s">
        <v>569</v>
      </c>
      <c r="B226" s="53" t="s">
        <v>570</v>
      </c>
      <c r="C226" s="54" t="s">
        <v>89</v>
      </c>
      <c r="D226" s="53" t="s">
        <v>288</v>
      </c>
      <c r="G226" s="35"/>
      <c r="M226" s="2"/>
    </row>
    <row r="227" spans="1:13" ht="14.4">
      <c r="A227" s="53" t="s">
        <v>571</v>
      </c>
      <c r="B227" s="53" t="s">
        <v>572</v>
      </c>
      <c r="C227" s="54" t="s">
        <v>85</v>
      </c>
      <c r="D227" s="53"/>
    </row>
    <row r="228" spans="1:13" ht="14.4">
      <c r="A228" s="53" t="s">
        <v>573</v>
      </c>
      <c r="B228" s="53" t="s">
        <v>574</v>
      </c>
      <c r="C228" s="54" t="s">
        <v>85</v>
      </c>
      <c r="D228" s="53"/>
    </row>
    <row r="229" spans="1:13" ht="14.4">
      <c r="A229" s="53" t="s">
        <v>575</v>
      </c>
      <c r="B229" s="53" t="s">
        <v>576</v>
      </c>
      <c r="C229" s="54" t="s">
        <v>85</v>
      </c>
      <c r="D229" s="53"/>
    </row>
    <row r="230" spans="1:13" ht="14.4">
      <c r="A230" s="53" t="s">
        <v>577</v>
      </c>
      <c r="B230" s="53" t="s">
        <v>578</v>
      </c>
      <c r="C230" s="54" t="s">
        <v>85</v>
      </c>
      <c r="D230" s="53"/>
    </row>
    <row r="231" spans="1:13" ht="14.4">
      <c r="A231" s="53" t="s">
        <v>579</v>
      </c>
      <c r="B231" s="53" t="s">
        <v>580</v>
      </c>
      <c r="C231" s="54" t="s">
        <v>85</v>
      </c>
      <c r="D231" s="53"/>
    </row>
    <row r="232" spans="1:13" ht="14.4">
      <c r="A232" s="53" t="s">
        <v>581</v>
      </c>
      <c r="B232" s="53" t="s">
        <v>582</v>
      </c>
      <c r="C232" s="54" t="s">
        <v>85</v>
      </c>
      <c r="D232" s="53"/>
    </row>
    <row r="233" spans="1:13" ht="14.4">
      <c r="A233" s="53" t="s">
        <v>583</v>
      </c>
      <c r="B233" s="53" t="s">
        <v>584</v>
      </c>
      <c r="C233" s="54" t="s">
        <v>85</v>
      </c>
      <c r="D233" s="53"/>
      <c r="H233" s="35"/>
    </row>
    <row r="234" spans="1:13" ht="14.4">
      <c r="A234" s="53" t="s">
        <v>585</v>
      </c>
      <c r="B234" s="53" t="s">
        <v>586</v>
      </c>
      <c r="C234" s="54" t="s">
        <v>85</v>
      </c>
      <c r="D234" s="53"/>
    </row>
    <row r="235" spans="1:13" ht="14.4">
      <c r="A235" s="53" t="s">
        <v>587</v>
      </c>
      <c r="B235" s="53" t="s">
        <v>588</v>
      </c>
      <c r="C235" s="54" t="s">
        <v>88</v>
      </c>
      <c r="D235" s="53"/>
      <c r="M235" s="2"/>
    </row>
    <row r="236" spans="1:13" ht="14.4">
      <c r="A236" s="53" t="s">
        <v>589</v>
      </c>
      <c r="B236" s="53" t="s">
        <v>590</v>
      </c>
      <c r="C236" s="54" t="s">
        <v>85</v>
      </c>
      <c r="D236" s="53"/>
    </row>
    <row r="237" spans="1:13" ht="14.4">
      <c r="A237" s="53" t="s">
        <v>591</v>
      </c>
      <c r="B237" s="53" t="s">
        <v>592</v>
      </c>
      <c r="C237" s="54" t="s">
        <v>85</v>
      </c>
      <c r="D237" s="53"/>
    </row>
    <row r="238" spans="1:13" ht="14.4">
      <c r="A238" s="53" t="s">
        <v>593</v>
      </c>
      <c r="B238" s="53" t="s">
        <v>594</v>
      </c>
      <c r="C238" s="54" t="s">
        <v>85</v>
      </c>
      <c r="D238" s="53"/>
      <c r="M238" s="2"/>
    </row>
    <row r="239" spans="1:13" ht="14.4">
      <c r="A239" s="53" t="s">
        <v>595</v>
      </c>
      <c r="B239" s="53" t="s">
        <v>596</v>
      </c>
      <c r="C239" s="54" t="s">
        <v>85</v>
      </c>
      <c r="D239" s="53"/>
    </row>
    <row r="240" spans="1:13" ht="14.4">
      <c r="A240" s="53" t="s">
        <v>597</v>
      </c>
      <c r="B240" s="53" t="s">
        <v>598</v>
      </c>
      <c r="C240" s="54" t="s">
        <v>85</v>
      </c>
      <c r="D240" s="53"/>
    </row>
    <row r="241" spans="1:13" ht="14.4">
      <c r="A241" s="53" t="s">
        <v>599</v>
      </c>
      <c r="B241" s="53" t="s">
        <v>600</v>
      </c>
      <c r="C241" s="54" t="s">
        <v>85</v>
      </c>
      <c r="D241" s="53"/>
    </row>
    <row r="242" spans="1:13" ht="14.4">
      <c r="A242" s="53" t="s">
        <v>601</v>
      </c>
      <c r="B242" s="53" t="s">
        <v>602</v>
      </c>
      <c r="C242" s="54" t="s">
        <v>85</v>
      </c>
      <c r="D242" s="53"/>
      <c r="M242" s="2"/>
    </row>
    <row r="243" spans="1:13" ht="14.4">
      <c r="A243" s="53" t="s">
        <v>603</v>
      </c>
      <c r="B243" s="53" t="s">
        <v>604</v>
      </c>
      <c r="C243" s="54" t="s">
        <v>89</v>
      </c>
      <c r="D243" s="53" t="s">
        <v>288</v>
      </c>
      <c r="M243" s="2"/>
    </row>
    <row r="244" spans="1:13" ht="14.4">
      <c r="A244" s="53" t="s">
        <v>605</v>
      </c>
      <c r="B244" s="53" t="s">
        <v>606</v>
      </c>
      <c r="C244" s="54" t="s">
        <v>89</v>
      </c>
      <c r="D244" s="53" t="s">
        <v>288</v>
      </c>
      <c r="M244" s="2"/>
    </row>
    <row r="245" spans="1:13" ht="14.4">
      <c r="A245" s="53" t="s">
        <v>607</v>
      </c>
      <c r="B245" s="53" t="s">
        <v>608</v>
      </c>
      <c r="C245" s="54" t="s">
        <v>89</v>
      </c>
      <c r="D245" s="53" t="s">
        <v>387</v>
      </c>
      <c r="M245" s="2"/>
    </row>
    <row r="246" spans="1:13" ht="14.4">
      <c r="A246" s="53" t="s">
        <v>609</v>
      </c>
      <c r="B246" s="53" t="s">
        <v>610</v>
      </c>
      <c r="C246" s="54" t="s">
        <v>89</v>
      </c>
      <c r="D246" s="53" t="s">
        <v>387</v>
      </c>
      <c r="M246" s="2"/>
    </row>
    <row r="247" spans="1:13" ht="14.4">
      <c r="A247" s="53" t="s">
        <v>611</v>
      </c>
      <c r="B247" s="53" t="s">
        <v>612</v>
      </c>
      <c r="C247" s="54" t="s">
        <v>89</v>
      </c>
      <c r="D247" s="53" t="s">
        <v>387</v>
      </c>
    </row>
    <row r="248" spans="1:13" ht="14.4">
      <c r="A248" s="53" t="s">
        <v>613</v>
      </c>
      <c r="B248" s="53" t="s">
        <v>614</v>
      </c>
      <c r="C248" s="54" t="s">
        <v>89</v>
      </c>
      <c r="D248" s="53" t="s">
        <v>387</v>
      </c>
      <c r="M248" s="2"/>
    </row>
    <row r="249" spans="1:13" ht="14.4">
      <c r="A249" s="53" t="s">
        <v>615</v>
      </c>
      <c r="B249" s="53" t="s">
        <v>616</v>
      </c>
      <c r="C249" s="54" t="s">
        <v>89</v>
      </c>
      <c r="D249" s="53" t="s">
        <v>387</v>
      </c>
      <c r="M249" s="2"/>
    </row>
    <row r="250" spans="1:13" ht="14.4">
      <c r="A250" s="53" t="s">
        <v>617</v>
      </c>
      <c r="B250" s="53" t="s">
        <v>618</v>
      </c>
      <c r="C250" s="54" t="s">
        <v>87</v>
      </c>
      <c r="D250" s="53" t="s">
        <v>256</v>
      </c>
      <c r="M250" s="2"/>
    </row>
    <row r="251" spans="1:13" ht="14.4">
      <c r="A251" s="53" t="s">
        <v>619</v>
      </c>
      <c r="B251" s="53" t="s">
        <v>620</v>
      </c>
      <c r="C251" s="54" t="s">
        <v>87</v>
      </c>
      <c r="D251" s="53" t="s">
        <v>256</v>
      </c>
      <c r="M251" s="2"/>
    </row>
    <row r="252" spans="1:13" ht="14.4">
      <c r="A252" s="53" t="s">
        <v>621</v>
      </c>
      <c r="B252" s="53" t="s">
        <v>622</v>
      </c>
      <c r="C252" s="54" t="s">
        <v>87</v>
      </c>
      <c r="D252" s="53" t="s">
        <v>256</v>
      </c>
      <c r="M252" s="2"/>
    </row>
    <row r="253" spans="1:13" ht="14.4">
      <c r="A253" s="53" t="s">
        <v>623</v>
      </c>
      <c r="B253" s="53" t="s">
        <v>624</v>
      </c>
      <c r="C253" s="54" t="s">
        <v>87</v>
      </c>
      <c r="D253" s="53" t="s">
        <v>256</v>
      </c>
      <c r="M253" s="2"/>
    </row>
    <row r="254" spans="1:13" ht="14.4">
      <c r="A254" s="53" t="s">
        <v>625</v>
      </c>
      <c r="B254" s="53" t="s">
        <v>626</v>
      </c>
      <c r="C254" s="54" t="s">
        <v>89</v>
      </c>
      <c r="D254" s="53" t="s">
        <v>387</v>
      </c>
    </row>
    <row r="255" spans="1:13" ht="14.4">
      <c r="A255" s="53" t="s">
        <v>627</v>
      </c>
      <c r="B255" s="53" t="s">
        <v>628</v>
      </c>
      <c r="C255" s="54" t="s">
        <v>89</v>
      </c>
      <c r="D255" s="53" t="s">
        <v>387</v>
      </c>
    </row>
    <row r="256" spans="1:13" ht="14.4">
      <c r="A256" s="53" t="s">
        <v>629</v>
      </c>
      <c r="B256" s="53" t="s">
        <v>630</v>
      </c>
      <c r="C256" s="54" t="s">
        <v>89</v>
      </c>
      <c r="D256" s="53" t="s">
        <v>631</v>
      </c>
      <c r="M256" s="2"/>
    </row>
    <row r="257" spans="1:13" ht="14.4">
      <c r="A257" s="53" t="s">
        <v>632</v>
      </c>
      <c r="B257" s="53" t="s">
        <v>633</v>
      </c>
      <c r="C257" s="54" t="s">
        <v>89</v>
      </c>
      <c r="D257" s="53" t="s">
        <v>631</v>
      </c>
      <c r="M257" s="2"/>
    </row>
    <row r="258" spans="1:13" ht="14.4">
      <c r="A258" s="53" t="s">
        <v>634</v>
      </c>
      <c r="B258" s="53" t="s">
        <v>635</v>
      </c>
      <c r="C258" s="54" t="s">
        <v>89</v>
      </c>
      <c r="D258" s="53" t="s">
        <v>631</v>
      </c>
      <c r="M258" s="2"/>
    </row>
    <row r="259" spans="1:13" ht="14.4">
      <c r="A259" s="53" t="s">
        <v>636</v>
      </c>
      <c r="B259" s="53" t="s">
        <v>637</v>
      </c>
      <c r="C259" s="54" t="s">
        <v>89</v>
      </c>
      <c r="D259" s="53" t="s">
        <v>631</v>
      </c>
      <c r="M259" s="2"/>
    </row>
    <row r="260" spans="1:13" ht="14.4">
      <c r="A260" s="53" t="s">
        <v>638</v>
      </c>
      <c r="B260" s="53" t="s">
        <v>639</v>
      </c>
      <c r="C260" s="54" t="s">
        <v>89</v>
      </c>
      <c r="D260" s="53" t="s">
        <v>631</v>
      </c>
      <c r="M260" s="2"/>
    </row>
    <row r="261" spans="1:13" ht="14.4">
      <c r="A261" s="53" t="s">
        <v>3075</v>
      </c>
      <c r="B261" s="53" t="s">
        <v>3076</v>
      </c>
      <c r="C261" s="54" t="s">
        <v>89</v>
      </c>
      <c r="D261" s="53" t="s">
        <v>631</v>
      </c>
      <c r="M261" s="2"/>
    </row>
    <row r="262" spans="1:13" ht="14.4">
      <c r="A262" s="53" t="s">
        <v>640</v>
      </c>
      <c r="B262" s="53" t="s">
        <v>641</v>
      </c>
      <c r="C262" s="54" t="s">
        <v>89</v>
      </c>
      <c r="D262" s="53" t="s">
        <v>631</v>
      </c>
      <c r="M262" s="2"/>
    </row>
    <row r="263" spans="1:13" ht="14.4">
      <c r="A263" s="53" t="s">
        <v>642</v>
      </c>
      <c r="B263" s="53" t="s">
        <v>643</v>
      </c>
      <c r="C263" s="54" t="s">
        <v>89</v>
      </c>
      <c r="D263" s="53" t="s">
        <v>631</v>
      </c>
      <c r="M263" s="2"/>
    </row>
    <row r="264" spans="1:13" ht="14.4">
      <c r="A264" s="53" t="s">
        <v>644</v>
      </c>
      <c r="B264" s="53" t="s">
        <v>645</v>
      </c>
      <c r="C264" s="54" t="s">
        <v>87</v>
      </c>
      <c r="D264" s="53" t="s">
        <v>256</v>
      </c>
      <c r="M264" s="2"/>
    </row>
    <row r="265" spans="1:13" ht="14.4">
      <c r="A265" s="53" t="s">
        <v>646</v>
      </c>
      <c r="B265" s="53" t="s">
        <v>647</v>
      </c>
      <c r="C265" s="54" t="s">
        <v>87</v>
      </c>
      <c r="D265" s="53" t="s">
        <v>256</v>
      </c>
    </row>
    <row r="266" spans="1:13" ht="14.4">
      <c r="A266" s="53" t="s">
        <v>648</v>
      </c>
      <c r="B266" s="53" t="s">
        <v>649</v>
      </c>
      <c r="C266" s="54" t="s">
        <v>84</v>
      </c>
      <c r="D266" s="53" t="s">
        <v>207</v>
      </c>
      <c r="M266" s="2"/>
    </row>
    <row r="267" spans="1:13" ht="14.4">
      <c r="A267" s="53" t="s">
        <v>650</v>
      </c>
      <c r="B267" s="53" t="s">
        <v>651</v>
      </c>
      <c r="C267" s="54" t="s">
        <v>84</v>
      </c>
      <c r="D267" s="53" t="s">
        <v>207</v>
      </c>
      <c r="M267" s="2"/>
    </row>
    <row r="268" spans="1:13" ht="14.4">
      <c r="A268" s="53" t="s">
        <v>652</v>
      </c>
      <c r="B268" s="53" t="s">
        <v>653</v>
      </c>
      <c r="C268" s="54" t="s">
        <v>89</v>
      </c>
      <c r="D268" s="53" t="s">
        <v>288</v>
      </c>
      <c r="M268" s="2"/>
    </row>
    <row r="269" spans="1:13" ht="14.4">
      <c r="A269" s="53" t="s">
        <v>654</v>
      </c>
      <c r="B269" s="53" t="s">
        <v>655</v>
      </c>
      <c r="C269" s="54" t="s">
        <v>89</v>
      </c>
      <c r="D269" s="53" t="s">
        <v>288</v>
      </c>
    </row>
    <row r="270" spans="1:13" ht="14.4">
      <c r="A270" s="53" t="s">
        <v>656</v>
      </c>
      <c r="B270" s="53" t="s">
        <v>657</v>
      </c>
      <c r="C270" s="54" t="s">
        <v>89</v>
      </c>
      <c r="D270" s="53" t="s">
        <v>288</v>
      </c>
    </row>
    <row r="271" spans="1:13" ht="14.4">
      <c r="A271" s="53" t="s">
        <v>3078</v>
      </c>
      <c r="B271" s="53" t="s">
        <v>3079</v>
      </c>
      <c r="C271" s="54" t="s">
        <v>89</v>
      </c>
      <c r="D271" s="53" t="s">
        <v>288</v>
      </c>
      <c r="M271" s="2"/>
    </row>
    <row r="272" spans="1:13" ht="14.4">
      <c r="A272" s="53" t="s">
        <v>658</v>
      </c>
      <c r="B272" s="53" t="s">
        <v>659</v>
      </c>
      <c r="C272" s="54" t="s">
        <v>89</v>
      </c>
      <c r="D272" s="53" t="s">
        <v>288</v>
      </c>
      <c r="M272" s="2"/>
    </row>
    <row r="273" spans="1:13" ht="14.4">
      <c r="A273" s="53" t="s">
        <v>660</v>
      </c>
      <c r="B273" s="53" t="s">
        <v>661</v>
      </c>
      <c r="C273" s="54" t="s">
        <v>89</v>
      </c>
      <c r="D273" s="53" t="s">
        <v>288</v>
      </c>
      <c r="M273" s="2"/>
    </row>
    <row r="274" spans="1:13" ht="14.4">
      <c r="A274" s="53" t="s">
        <v>662</v>
      </c>
      <c r="B274" s="53" t="s">
        <v>663</v>
      </c>
      <c r="C274" s="54" t="s">
        <v>84</v>
      </c>
      <c r="D274" s="53" t="s">
        <v>241</v>
      </c>
      <c r="M274" s="2"/>
    </row>
    <row r="275" spans="1:13" ht="14.4">
      <c r="A275" s="53" t="s">
        <v>664</v>
      </c>
      <c r="B275" s="53" t="s">
        <v>665</v>
      </c>
      <c r="C275" s="54" t="s">
        <v>84</v>
      </c>
      <c r="D275" s="53" t="s">
        <v>241</v>
      </c>
    </row>
    <row r="276" spans="1:13" ht="14.4">
      <c r="A276" s="53" t="s">
        <v>666</v>
      </c>
      <c r="B276" s="53" t="s">
        <v>667</v>
      </c>
      <c r="C276" s="54" t="s">
        <v>84</v>
      </c>
      <c r="D276" s="53" t="s">
        <v>241</v>
      </c>
    </row>
    <row r="277" spans="1:13" ht="14.4">
      <c r="A277" s="53" t="s">
        <v>668</v>
      </c>
      <c r="B277" s="53" t="s">
        <v>669</v>
      </c>
      <c r="C277" s="54" t="s">
        <v>89</v>
      </c>
      <c r="D277" s="53" t="s">
        <v>288</v>
      </c>
    </row>
    <row r="278" spans="1:13" ht="14.4">
      <c r="A278" s="53" t="s">
        <v>670</v>
      </c>
      <c r="B278" s="53" t="s">
        <v>671</v>
      </c>
      <c r="C278" s="54" t="s">
        <v>89</v>
      </c>
      <c r="D278" s="53" t="s">
        <v>288</v>
      </c>
      <c r="M278" s="2"/>
    </row>
    <row r="279" spans="1:13" ht="14.4">
      <c r="A279" s="53" t="s">
        <v>672</v>
      </c>
      <c r="B279" s="53" t="s">
        <v>673</v>
      </c>
      <c r="C279" s="54" t="s">
        <v>59</v>
      </c>
      <c r="D279" s="53"/>
      <c r="M279" s="2"/>
    </row>
    <row r="280" spans="1:13" ht="14.4">
      <c r="A280" s="53" t="s">
        <v>674</v>
      </c>
      <c r="B280" s="53" t="s">
        <v>675</v>
      </c>
      <c r="C280" s="54" t="s">
        <v>88</v>
      </c>
      <c r="D280" s="53"/>
      <c r="M280" s="2"/>
    </row>
    <row r="281" spans="1:13" ht="14.4">
      <c r="A281" s="53" t="s">
        <v>676</v>
      </c>
      <c r="B281" s="53" t="s">
        <v>677</v>
      </c>
      <c r="C281" s="54" t="s">
        <v>87</v>
      </c>
      <c r="D281" s="53" t="s">
        <v>256</v>
      </c>
    </row>
    <row r="282" spans="1:13" ht="14.4">
      <c r="A282" s="53" t="s">
        <v>3153</v>
      </c>
      <c r="B282" s="53" t="s">
        <v>3152</v>
      </c>
      <c r="C282" s="54" t="s">
        <v>89</v>
      </c>
      <c r="D282" s="53" t="s">
        <v>524</v>
      </c>
    </row>
    <row r="283" spans="1:13" ht="14.4">
      <c r="A283" s="53" t="s">
        <v>678</v>
      </c>
      <c r="B283" s="53" t="s">
        <v>679</v>
      </c>
      <c r="C283" s="54" t="s">
        <v>85</v>
      </c>
      <c r="D283" s="53"/>
      <c r="M283" s="2"/>
    </row>
    <row r="284" spans="1:13" ht="14.4">
      <c r="A284" s="53" t="s">
        <v>680</v>
      </c>
      <c r="B284" s="53" t="s">
        <v>681</v>
      </c>
      <c r="C284" s="54" t="s">
        <v>87</v>
      </c>
      <c r="D284" s="53" t="s">
        <v>318</v>
      </c>
      <c r="M284" s="2"/>
    </row>
    <row r="285" spans="1:13" ht="14.4">
      <c r="A285" s="53" t="s">
        <v>682</v>
      </c>
      <c r="B285" s="53" t="s">
        <v>683</v>
      </c>
      <c r="C285" s="54" t="s">
        <v>87</v>
      </c>
      <c r="D285" s="53" t="s">
        <v>318</v>
      </c>
      <c r="M285" s="2"/>
    </row>
    <row r="286" spans="1:13" ht="14.4">
      <c r="A286" s="53" t="s">
        <v>684</v>
      </c>
      <c r="B286" s="53" t="s">
        <v>685</v>
      </c>
      <c r="C286" s="54" t="s">
        <v>85</v>
      </c>
      <c r="D286" s="53"/>
      <c r="M286" s="2"/>
    </row>
    <row r="287" spans="1:13" ht="14.4">
      <c r="A287" s="53" t="s">
        <v>686</v>
      </c>
      <c r="B287" s="53" t="s">
        <v>687</v>
      </c>
      <c r="C287" s="54" t="s">
        <v>88</v>
      </c>
      <c r="D287" s="53"/>
      <c r="M287" s="2"/>
    </row>
    <row r="288" spans="1:13" ht="14.4">
      <c r="A288" s="53" t="s">
        <v>688</v>
      </c>
      <c r="B288" s="53" t="s">
        <v>689</v>
      </c>
      <c r="C288" s="54" t="s">
        <v>88</v>
      </c>
      <c r="D288" s="53"/>
      <c r="M288" s="2"/>
    </row>
    <row r="289" spans="1:13" ht="14.4">
      <c r="A289" s="53" t="s">
        <v>690</v>
      </c>
      <c r="B289" s="53" t="s">
        <v>691</v>
      </c>
      <c r="C289" s="54" t="s">
        <v>88</v>
      </c>
      <c r="D289" s="53"/>
    </row>
    <row r="290" spans="1:13" ht="14.4">
      <c r="A290" s="53" t="s">
        <v>692</v>
      </c>
      <c r="B290" s="53" t="s">
        <v>693</v>
      </c>
      <c r="C290" s="54" t="s">
        <v>84</v>
      </c>
      <c r="D290" s="53" t="s">
        <v>694</v>
      </c>
      <c r="M290" s="2"/>
    </row>
    <row r="291" spans="1:13" ht="14.4">
      <c r="A291" s="53" t="s">
        <v>695</v>
      </c>
      <c r="B291" s="53" t="s">
        <v>696</v>
      </c>
      <c r="C291" s="54" t="s">
        <v>84</v>
      </c>
      <c r="D291" s="53" t="s">
        <v>694</v>
      </c>
      <c r="M291" s="2"/>
    </row>
    <row r="292" spans="1:13" ht="14.4">
      <c r="A292" s="53" t="s">
        <v>697</v>
      </c>
      <c r="B292" s="53" t="s">
        <v>698</v>
      </c>
      <c r="C292" s="54" t="s">
        <v>84</v>
      </c>
      <c r="D292" s="53" t="s">
        <v>694</v>
      </c>
      <c r="M292" s="2"/>
    </row>
    <row r="293" spans="1:13" ht="14.4">
      <c r="A293" s="53" t="s">
        <v>699</v>
      </c>
      <c r="B293" s="53" t="s">
        <v>700</v>
      </c>
      <c r="C293" s="54" t="s">
        <v>84</v>
      </c>
      <c r="D293" s="53" t="s">
        <v>694</v>
      </c>
    </row>
    <row r="294" spans="1:13" ht="14.4">
      <c r="A294" s="53" t="s">
        <v>701</v>
      </c>
      <c r="B294" s="53" t="s">
        <v>702</v>
      </c>
      <c r="C294" s="54" t="s">
        <v>84</v>
      </c>
      <c r="D294" s="53" t="s">
        <v>694</v>
      </c>
      <c r="M294" s="2"/>
    </row>
    <row r="295" spans="1:13" ht="14.4">
      <c r="A295" s="53" t="s">
        <v>703</v>
      </c>
      <c r="B295" s="53" t="s">
        <v>704</v>
      </c>
      <c r="C295" s="54" t="s">
        <v>84</v>
      </c>
      <c r="D295" s="53" t="s">
        <v>694</v>
      </c>
      <c r="M295" s="2"/>
    </row>
    <row r="296" spans="1:13" ht="14.4">
      <c r="A296" s="53" t="s">
        <v>705</v>
      </c>
      <c r="B296" s="53" t="s">
        <v>706</v>
      </c>
      <c r="C296" s="54" t="s">
        <v>84</v>
      </c>
      <c r="D296" s="53" t="s">
        <v>694</v>
      </c>
      <c r="M296" s="2"/>
    </row>
    <row r="297" spans="1:13" ht="14.4">
      <c r="A297" s="53" t="s">
        <v>707</v>
      </c>
      <c r="B297" s="53" t="s">
        <v>708</v>
      </c>
      <c r="C297" s="54" t="s">
        <v>84</v>
      </c>
      <c r="D297" s="53" t="s">
        <v>694</v>
      </c>
      <c r="M297" s="2"/>
    </row>
    <row r="298" spans="1:13" ht="14.4">
      <c r="A298" s="53" t="s">
        <v>709</v>
      </c>
      <c r="B298" s="53" t="s">
        <v>710</v>
      </c>
      <c r="C298" s="54" t="s">
        <v>84</v>
      </c>
      <c r="D298" s="53" t="s">
        <v>694</v>
      </c>
    </row>
    <row r="299" spans="1:13" ht="14.4">
      <c r="A299" s="53" t="s">
        <v>711</v>
      </c>
      <c r="B299" s="53" t="s">
        <v>712</v>
      </c>
      <c r="C299" s="54" t="s">
        <v>85</v>
      </c>
      <c r="D299" s="53"/>
      <c r="M299" s="2"/>
    </row>
    <row r="300" spans="1:13" ht="14.4">
      <c r="A300" s="53" t="s">
        <v>713</v>
      </c>
      <c r="B300" s="53" t="s">
        <v>714</v>
      </c>
      <c r="C300" s="54" t="s">
        <v>88</v>
      </c>
      <c r="D300" s="53"/>
      <c r="M300" s="2"/>
    </row>
    <row r="301" spans="1:13" ht="14.4">
      <c r="A301" s="53" t="s">
        <v>715</v>
      </c>
      <c r="B301" s="53" t="s">
        <v>716</v>
      </c>
      <c r="C301" s="54" t="s">
        <v>88</v>
      </c>
      <c r="D301" s="53"/>
    </row>
    <row r="302" spans="1:13" ht="14.4">
      <c r="A302" s="53" t="s">
        <v>717</v>
      </c>
      <c r="B302" s="53" t="s">
        <v>718</v>
      </c>
      <c r="C302" s="54" t="s">
        <v>84</v>
      </c>
      <c r="D302" s="53" t="s">
        <v>207</v>
      </c>
      <c r="M302" s="2"/>
    </row>
    <row r="303" spans="1:13" ht="14.4">
      <c r="A303" s="53" t="s">
        <v>719</v>
      </c>
      <c r="B303" s="53" t="s">
        <v>720</v>
      </c>
      <c r="C303" s="54" t="s">
        <v>84</v>
      </c>
      <c r="D303" s="53" t="s">
        <v>207</v>
      </c>
      <c r="M303" s="2"/>
    </row>
    <row r="304" spans="1:13" ht="14.4">
      <c r="A304" s="53" t="s">
        <v>721</v>
      </c>
      <c r="B304" s="53" t="s">
        <v>722</v>
      </c>
      <c r="C304" s="54" t="s">
        <v>84</v>
      </c>
      <c r="D304" s="53" t="s">
        <v>207</v>
      </c>
    </row>
    <row r="305" spans="1:13" ht="14.4">
      <c r="A305" s="53" t="s">
        <v>723</v>
      </c>
      <c r="B305" s="53" t="s">
        <v>724</v>
      </c>
      <c r="C305" s="54" t="s">
        <v>84</v>
      </c>
      <c r="D305" s="53" t="s">
        <v>207</v>
      </c>
      <c r="M305" s="2"/>
    </row>
    <row r="306" spans="1:13" ht="14.4">
      <c r="A306" s="53" t="s">
        <v>725</v>
      </c>
      <c r="B306" s="53" t="s">
        <v>726</v>
      </c>
      <c r="C306" s="54" t="s">
        <v>84</v>
      </c>
      <c r="D306" s="53" t="s">
        <v>207</v>
      </c>
      <c r="M306" s="2"/>
    </row>
    <row r="307" spans="1:13" ht="14.4">
      <c r="A307" s="53" t="s">
        <v>727</v>
      </c>
      <c r="B307" s="53" t="s">
        <v>728</v>
      </c>
      <c r="C307" s="54" t="s">
        <v>84</v>
      </c>
      <c r="D307" s="53" t="s">
        <v>207</v>
      </c>
      <c r="M307" s="2"/>
    </row>
    <row r="308" spans="1:13" ht="14.4">
      <c r="A308" s="53" t="s">
        <v>729</v>
      </c>
      <c r="B308" s="53" t="s">
        <v>730</v>
      </c>
      <c r="C308" s="54" t="s">
        <v>84</v>
      </c>
      <c r="D308" s="53" t="s">
        <v>207</v>
      </c>
      <c r="M308" s="2"/>
    </row>
    <row r="309" spans="1:13" ht="14.4">
      <c r="A309" s="53" t="s">
        <v>731</v>
      </c>
      <c r="B309" s="53" t="s">
        <v>732</v>
      </c>
      <c r="C309" s="54" t="s">
        <v>84</v>
      </c>
      <c r="D309" s="53" t="s">
        <v>207</v>
      </c>
    </row>
    <row r="310" spans="1:13" ht="14.4">
      <c r="A310" s="53" t="s">
        <v>733</v>
      </c>
      <c r="B310" s="53" t="s">
        <v>734</v>
      </c>
      <c r="C310" s="54" t="s">
        <v>84</v>
      </c>
      <c r="D310" s="53" t="s">
        <v>207</v>
      </c>
      <c r="M310" s="2"/>
    </row>
    <row r="311" spans="1:13" ht="14.4">
      <c r="A311" s="53" t="s">
        <v>735</v>
      </c>
      <c r="B311" s="53" t="s">
        <v>736</v>
      </c>
      <c r="C311" s="54" t="s">
        <v>84</v>
      </c>
      <c r="D311" s="53" t="s">
        <v>207</v>
      </c>
      <c r="M311" s="2"/>
    </row>
    <row r="312" spans="1:13" ht="14.4">
      <c r="A312" s="53" t="s">
        <v>737</v>
      </c>
      <c r="B312" s="53" t="s">
        <v>738</v>
      </c>
      <c r="C312" s="54" t="s">
        <v>84</v>
      </c>
      <c r="D312" s="53" t="s">
        <v>207</v>
      </c>
      <c r="M312" s="2"/>
    </row>
    <row r="313" spans="1:13" ht="14.4">
      <c r="A313" s="53" t="s">
        <v>739</v>
      </c>
      <c r="B313" s="53" t="s">
        <v>740</v>
      </c>
      <c r="C313" s="54" t="s">
        <v>84</v>
      </c>
      <c r="D313" s="53" t="s">
        <v>207</v>
      </c>
      <c r="M313" s="2"/>
    </row>
    <row r="314" spans="1:13" ht="14.4">
      <c r="A314" s="53" t="s">
        <v>741</v>
      </c>
      <c r="B314" s="53" t="s">
        <v>742</v>
      </c>
      <c r="C314" s="54" t="s">
        <v>87</v>
      </c>
      <c r="D314" s="53" t="s">
        <v>293</v>
      </c>
      <c r="M314" s="2"/>
    </row>
    <row r="315" spans="1:13" ht="14.4">
      <c r="A315" s="53" t="s">
        <v>743</v>
      </c>
      <c r="B315" s="53" t="s">
        <v>744</v>
      </c>
      <c r="C315" s="54" t="s">
        <v>84</v>
      </c>
      <c r="D315" s="53" t="s">
        <v>694</v>
      </c>
      <c r="M315" s="2"/>
    </row>
    <row r="316" spans="1:13" ht="14.4">
      <c r="A316" s="53" t="s">
        <v>745</v>
      </c>
      <c r="B316" s="53" t="s">
        <v>746</v>
      </c>
      <c r="C316" s="54" t="s">
        <v>88</v>
      </c>
      <c r="D316" s="53"/>
      <c r="M316" s="2"/>
    </row>
    <row r="317" spans="1:13" ht="14.4">
      <c r="A317" s="53" t="s">
        <v>747</v>
      </c>
      <c r="B317" s="53" t="s">
        <v>748</v>
      </c>
      <c r="C317" s="54" t="s">
        <v>88</v>
      </c>
      <c r="D317" s="53"/>
      <c r="M317" s="2"/>
    </row>
    <row r="318" spans="1:13" ht="14.4">
      <c r="A318" s="53" t="s">
        <v>749</v>
      </c>
      <c r="B318" s="53" t="s">
        <v>750</v>
      </c>
      <c r="C318" s="54" t="s">
        <v>84</v>
      </c>
      <c r="D318" s="53" t="s">
        <v>268</v>
      </c>
      <c r="M318" s="2"/>
    </row>
    <row r="319" spans="1:13" ht="14.4">
      <c r="A319" s="53" t="s">
        <v>751</v>
      </c>
      <c r="B319" s="53" t="s">
        <v>752</v>
      </c>
      <c r="C319" s="54" t="s">
        <v>90</v>
      </c>
      <c r="D319" s="53"/>
      <c r="M319" s="2"/>
    </row>
    <row r="320" spans="1:13" ht="14.4">
      <c r="A320" s="53" t="s">
        <v>753</v>
      </c>
      <c r="B320" s="53" t="s">
        <v>754</v>
      </c>
      <c r="C320" s="54" t="s">
        <v>84</v>
      </c>
      <c r="D320" s="53" t="s">
        <v>268</v>
      </c>
    </row>
    <row r="321" spans="1:13" ht="14.4">
      <c r="A321" s="53" t="s">
        <v>755</v>
      </c>
      <c r="B321" s="53" t="s">
        <v>756</v>
      </c>
      <c r="C321" s="54" t="s">
        <v>88</v>
      </c>
      <c r="D321" s="53"/>
    </row>
    <row r="322" spans="1:13" ht="14.4">
      <c r="A322" s="53" t="s">
        <v>757</v>
      </c>
      <c r="B322" s="53" t="s">
        <v>758</v>
      </c>
      <c r="C322" s="54" t="s">
        <v>88</v>
      </c>
      <c r="D322" s="53"/>
      <c r="M322" s="2"/>
    </row>
    <row r="323" spans="1:13" ht="14.4">
      <c r="A323" s="53" t="s">
        <v>759</v>
      </c>
      <c r="B323" s="53" t="s">
        <v>760</v>
      </c>
      <c r="C323" s="54" t="s">
        <v>85</v>
      </c>
      <c r="D323" s="53"/>
      <c r="M323" s="2"/>
    </row>
    <row r="324" spans="1:13" ht="14.4">
      <c r="A324" s="53" t="s">
        <v>761</v>
      </c>
      <c r="B324" s="53" t="s">
        <v>762</v>
      </c>
      <c r="C324" s="54" t="s">
        <v>85</v>
      </c>
      <c r="D324" s="53"/>
      <c r="M324" s="2"/>
    </row>
    <row r="325" spans="1:13" ht="14.4">
      <c r="A325" s="53" t="s">
        <v>763</v>
      </c>
      <c r="B325" s="53" t="s">
        <v>764</v>
      </c>
      <c r="C325" s="54" t="s">
        <v>85</v>
      </c>
      <c r="D325" s="53"/>
      <c r="M325" s="2"/>
    </row>
    <row r="326" spans="1:13" ht="14.4">
      <c r="A326" s="53" t="s">
        <v>765</v>
      </c>
      <c r="B326" s="53" t="s">
        <v>766</v>
      </c>
      <c r="C326" s="54" t="s">
        <v>87</v>
      </c>
      <c r="D326" s="53" t="s">
        <v>318</v>
      </c>
      <c r="M326" s="2"/>
    </row>
    <row r="327" spans="1:13" ht="14.4">
      <c r="A327" s="53" t="s">
        <v>3081</v>
      </c>
      <c r="B327" s="53" t="s">
        <v>3082</v>
      </c>
      <c r="C327" s="54" t="s">
        <v>87</v>
      </c>
      <c r="D327" s="53"/>
      <c r="M327" s="2"/>
    </row>
    <row r="328" spans="1:13" ht="14.4">
      <c r="A328" s="53" t="s">
        <v>3083</v>
      </c>
      <c r="B328" s="53" t="s">
        <v>3084</v>
      </c>
      <c r="C328" s="54" t="s">
        <v>87</v>
      </c>
      <c r="D328" s="53"/>
      <c r="E328" s="35"/>
      <c r="M328" s="2"/>
    </row>
    <row r="329" spans="1:13" ht="14.4">
      <c r="A329" s="53" t="s">
        <v>767</v>
      </c>
      <c r="B329" s="53" t="s">
        <v>768</v>
      </c>
      <c r="C329" s="54" t="s">
        <v>84</v>
      </c>
      <c r="D329" s="53" t="s">
        <v>241</v>
      </c>
      <c r="M329" s="2"/>
    </row>
    <row r="330" spans="1:13" ht="14.4">
      <c r="A330" s="53" t="s">
        <v>769</v>
      </c>
      <c r="B330" s="53" t="s">
        <v>770</v>
      </c>
      <c r="C330" s="54" t="s">
        <v>84</v>
      </c>
      <c r="D330" s="53" t="s">
        <v>241</v>
      </c>
      <c r="M330" s="2"/>
    </row>
    <row r="331" spans="1:13" ht="14.4">
      <c r="A331" s="53" t="s">
        <v>771</v>
      </c>
      <c r="B331" s="53" t="s">
        <v>772</v>
      </c>
      <c r="C331" s="54" t="s">
        <v>84</v>
      </c>
      <c r="D331" s="53" t="s">
        <v>241</v>
      </c>
      <c r="M331" s="2"/>
    </row>
    <row r="332" spans="1:13" ht="14.4">
      <c r="A332" s="53" t="s">
        <v>773</v>
      </c>
      <c r="B332" s="53" t="s">
        <v>774</v>
      </c>
      <c r="C332" s="54" t="s">
        <v>84</v>
      </c>
      <c r="D332" s="53" t="s">
        <v>694</v>
      </c>
    </row>
    <row r="333" spans="1:13" ht="14.4">
      <c r="A333" s="53" t="s">
        <v>775</v>
      </c>
      <c r="B333" s="53" t="s">
        <v>776</v>
      </c>
      <c r="C333" s="54" t="s">
        <v>84</v>
      </c>
      <c r="D333" s="53" t="s">
        <v>694</v>
      </c>
    </row>
    <row r="334" spans="1:13" ht="14.4">
      <c r="A334" s="53" t="s">
        <v>777</v>
      </c>
      <c r="B334" s="53" t="s">
        <v>778</v>
      </c>
      <c r="C334" s="54" t="s">
        <v>89</v>
      </c>
      <c r="D334" s="53" t="s">
        <v>387</v>
      </c>
    </row>
    <row r="335" spans="1:13" ht="14.4">
      <c r="A335" s="53" t="s">
        <v>779</v>
      </c>
      <c r="B335" s="53" t="s">
        <v>780</v>
      </c>
      <c r="C335" s="54" t="s">
        <v>85</v>
      </c>
      <c r="D335" s="53"/>
    </row>
    <row r="336" spans="1:13" ht="14.4">
      <c r="A336" s="53" t="s">
        <v>781</v>
      </c>
      <c r="B336" s="53" t="s">
        <v>782</v>
      </c>
      <c r="C336" s="54" t="s">
        <v>85</v>
      </c>
      <c r="D336" s="53"/>
    </row>
    <row r="337" spans="1:7" ht="14.4">
      <c r="A337" s="53" t="s">
        <v>783</v>
      </c>
      <c r="B337" s="53" t="s">
        <v>784</v>
      </c>
      <c r="C337" s="54" t="s">
        <v>85</v>
      </c>
      <c r="D337" s="53"/>
    </row>
    <row r="338" spans="1:7" ht="14.4">
      <c r="A338" s="53" t="s">
        <v>785</v>
      </c>
      <c r="B338" s="53" t="s">
        <v>786</v>
      </c>
      <c r="C338" s="54" t="s">
        <v>88</v>
      </c>
      <c r="D338" s="53"/>
    </row>
    <row r="339" spans="1:7" ht="14.4">
      <c r="A339" s="53" t="s">
        <v>787</v>
      </c>
      <c r="B339" s="53" t="s">
        <v>788</v>
      </c>
      <c r="C339" s="54" t="s">
        <v>87</v>
      </c>
      <c r="D339" s="53" t="s">
        <v>789</v>
      </c>
    </row>
    <row r="340" spans="1:7" ht="14.4">
      <c r="A340" s="53" t="s">
        <v>790</v>
      </c>
      <c r="B340" s="53" t="s">
        <v>791</v>
      </c>
      <c r="C340" s="54" t="s">
        <v>87</v>
      </c>
      <c r="D340" s="53" t="s">
        <v>789</v>
      </c>
    </row>
    <row r="341" spans="1:7" ht="14.4">
      <c r="A341" s="53" t="s">
        <v>792</v>
      </c>
      <c r="B341" s="53" t="s">
        <v>793</v>
      </c>
      <c r="C341" s="54" t="s">
        <v>87</v>
      </c>
      <c r="D341" s="53" t="s">
        <v>789</v>
      </c>
    </row>
    <row r="342" spans="1:7" ht="14.4">
      <c r="A342" s="53" t="s">
        <v>794</v>
      </c>
      <c r="B342" s="53" t="s">
        <v>3086</v>
      </c>
      <c r="C342" s="54" t="s">
        <v>87</v>
      </c>
      <c r="D342" s="53" t="s">
        <v>789</v>
      </c>
    </row>
    <row r="343" spans="1:7" ht="14.4">
      <c r="A343" s="53" t="s">
        <v>3085</v>
      </c>
      <c r="B343" s="53" t="s">
        <v>3087</v>
      </c>
      <c r="C343" s="54" t="s">
        <v>89</v>
      </c>
      <c r="D343" s="53" t="s">
        <v>265</v>
      </c>
    </row>
    <row r="344" spans="1:7" ht="14.4">
      <c r="A344" s="53" t="s">
        <v>795</v>
      </c>
      <c r="B344" s="53" t="s">
        <v>796</v>
      </c>
      <c r="C344" s="54" t="s">
        <v>87</v>
      </c>
      <c r="D344" s="53" t="s">
        <v>789</v>
      </c>
    </row>
    <row r="345" spans="1:7" ht="14.4">
      <c r="A345" s="53" t="s">
        <v>797</v>
      </c>
      <c r="B345" s="53" t="s">
        <v>798</v>
      </c>
      <c r="C345" s="54" t="s">
        <v>89</v>
      </c>
      <c r="D345" s="53" t="s">
        <v>121</v>
      </c>
    </row>
    <row r="346" spans="1:7" ht="14.4">
      <c r="A346" s="53" t="s">
        <v>799</v>
      </c>
      <c r="B346" s="53" t="s">
        <v>800</v>
      </c>
      <c r="C346" s="54" t="s">
        <v>85</v>
      </c>
      <c r="D346" s="53"/>
    </row>
    <row r="347" spans="1:7" ht="14.4">
      <c r="A347" s="53" t="s">
        <v>801</v>
      </c>
      <c r="B347" s="53" t="s">
        <v>802</v>
      </c>
      <c r="C347" s="54" t="s">
        <v>84</v>
      </c>
      <c r="D347" s="53" t="s">
        <v>241</v>
      </c>
    </row>
    <row r="348" spans="1:7" ht="14.4">
      <c r="A348" s="53" t="s">
        <v>803</v>
      </c>
      <c r="B348" s="53" t="s">
        <v>804</v>
      </c>
      <c r="C348" s="54" t="s">
        <v>87</v>
      </c>
      <c r="D348" s="53" t="s">
        <v>256</v>
      </c>
    </row>
    <row r="349" spans="1:7" ht="14.4">
      <c r="A349" s="53" t="s">
        <v>805</v>
      </c>
      <c r="B349" s="53" t="s">
        <v>806</v>
      </c>
      <c r="C349" s="54" t="s">
        <v>84</v>
      </c>
      <c r="D349" s="53" t="s">
        <v>241</v>
      </c>
      <c r="G349" s="35"/>
    </row>
    <row r="350" spans="1:7" ht="14.4">
      <c r="A350" s="53" t="s">
        <v>807</v>
      </c>
      <c r="B350" s="53" t="s">
        <v>808</v>
      </c>
      <c r="C350" s="54" t="s">
        <v>84</v>
      </c>
      <c r="D350" s="53" t="s">
        <v>207</v>
      </c>
    </row>
    <row r="351" spans="1:7" ht="14.4">
      <c r="A351" s="53" t="s">
        <v>809</v>
      </c>
      <c r="B351" s="53" t="s">
        <v>810</v>
      </c>
      <c r="C351" s="54" t="s">
        <v>59</v>
      </c>
      <c r="D351" s="53"/>
    </row>
    <row r="352" spans="1:7" ht="14.4">
      <c r="A352" s="53" t="s">
        <v>811</v>
      </c>
      <c r="B352" s="53" t="s">
        <v>812</v>
      </c>
      <c r="C352" s="54" t="s">
        <v>89</v>
      </c>
      <c r="D352" s="53" t="s">
        <v>631</v>
      </c>
    </row>
    <row r="353" spans="1:8" ht="14.4">
      <c r="A353" s="53" t="s">
        <v>813</v>
      </c>
      <c r="B353" s="53" t="s">
        <v>814</v>
      </c>
      <c r="C353" s="54" t="s">
        <v>84</v>
      </c>
      <c r="D353" s="53" t="s">
        <v>268</v>
      </c>
    </row>
    <row r="354" spans="1:8" ht="14.4">
      <c r="A354" s="53" t="s">
        <v>815</v>
      </c>
      <c r="B354" s="53" t="s">
        <v>816</v>
      </c>
      <c r="C354" s="54" t="s">
        <v>84</v>
      </c>
      <c r="D354" s="53" t="s">
        <v>268</v>
      </c>
    </row>
    <row r="355" spans="1:8" ht="14.4">
      <c r="A355" s="53" t="s">
        <v>817</v>
      </c>
      <c r="B355" s="53" t="s">
        <v>818</v>
      </c>
      <c r="C355" s="54" t="s">
        <v>88</v>
      </c>
      <c r="D355" s="53"/>
    </row>
    <row r="356" spans="1:8" ht="14.4">
      <c r="A356" s="53" t="s">
        <v>819</v>
      </c>
      <c r="B356" s="53" t="s">
        <v>820</v>
      </c>
      <c r="C356" s="54" t="s">
        <v>85</v>
      </c>
      <c r="D356" s="53"/>
    </row>
    <row r="357" spans="1:8" ht="14.4">
      <c r="A357" s="53" t="s">
        <v>32</v>
      </c>
      <c r="B357" s="53" t="s">
        <v>821</v>
      </c>
      <c r="C357" s="54" t="s">
        <v>89</v>
      </c>
      <c r="D357" s="53" t="s">
        <v>288</v>
      </c>
    </row>
    <row r="358" spans="1:8" ht="14.4">
      <c r="A358" s="53" t="s">
        <v>822</v>
      </c>
      <c r="B358" s="53" t="s">
        <v>823</v>
      </c>
      <c r="C358" s="54" t="s">
        <v>89</v>
      </c>
      <c r="D358" s="53" t="s">
        <v>288</v>
      </c>
    </row>
    <row r="359" spans="1:8" ht="14.4">
      <c r="A359" s="53" t="s">
        <v>824</v>
      </c>
      <c r="B359" s="53" t="s">
        <v>825</v>
      </c>
      <c r="C359" s="54" t="s">
        <v>89</v>
      </c>
      <c r="D359" s="53" t="s">
        <v>288</v>
      </c>
    </row>
    <row r="360" spans="1:8" ht="14.4">
      <c r="A360" s="53" t="s">
        <v>826</v>
      </c>
      <c r="B360" s="53" t="s">
        <v>827</v>
      </c>
      <c r="C360" s="54" t="s">
        <v>85</v>
      </c>
      <c r="D360" s="53"/>
    </row>
    <row r="361" spans="1:8" ht="14.4">
      <c r="A361" s="53" t="s">
        <v>828</v>
      </c>
      <c r="B361" s="53" t="s">
        <v>829</v>
      </c>
      <c r="C361" s="54" t="s">
        <v>88</v>
      </c>
      <c r="D361" s="53"/>
    </row>
    <row r="362" spans="1:8" ht="14.4">
      <c r="A362" s="53" t="s">
        <v>830</v>
      </c>
      <c r="B362" s="53" t="s">
        <v>831</v>
      </c>
      <c r="C362" s="54" t="s">
        <v>85</v>
      </c>
      <c r="D362" s="53"/>
      <c r="G362" s="35"/>
    </row>
    <row r="363" spans="1:8" ht="14.4">
      <c r="A363" s="53" t="s">
        <v>832</v>
      </c>
      <c r="B363" s="53" t="s">
        <v>833</v>
      </c>
      <c r="C363" s="54" t="s">
        <v>85</v>
      </c>
      <c r="D363" s="53"/>
    </row>
    <row r="364" spans="1:8" ht="14.4">
      <c r="A364" s="53" t="s">
        <v>834</v>
      </c>
      <c r="B364" s="53" t="s">
        <v>835</v>
      </c>
      <c r="C364" s="54" t="s">
        <v>88</v>
      </c>
      <c r="D364" s="53"/>
    </row>
    <row r="365" spans="1:8" ht="14.4">
      <c r="A365" s="53" t="s">
        <v>836</v>
      </c>
      <c r="B365" s="53" t="s">
        <v>837</v>
      </c>
      <c r="C365" s="54" t="s">
        <v>85</v>
      </c>
      <c r="D365" s="53"/>
    </row>
    <row r="366" spans="1:8" ht="14.4">
      <c r="A366" s="53" t="s">
        <v>838</v>
      </c>
      <c r="B366" s="53" t="s">
        <v>839</v>
      </c>
      <c r="C366" s="54" t="s">
        <v>84</v>
      </c>
      <c r="D366" s="53" t="s">
        <v>268</v>
      </c>
    </row>
    <row r="367" spans="1:8" ht="14.4">
      <c r="A367" s="53" t="s">
        <v>840</v>
      </c>
      <c r="B367" s="53" t="s">
        <v>841</v>
      </c>
      <c r="C367" s="54" t="s">
        <v>87</v>
      </c>
      <c r="D367" s="53" t="s">
        <v>256</v>
      </c>
    </row>
    <row r="368" spans="1:8" ht="14.4">
      <c r="A368" s="53" t="s">
        <v>842</v>
      </c>
      <c r="B368" s="53" t="s">
        <v>843</v>
      </c>
      <c r="C368" s="54" t="s">
        <v>87</v>
      </c>
      <c r="D368" s="53" t="s">
        <v>256</v>
      </c>
      <c r="F368" s="35"/>
      <c r="H368" s="36"/>
    </row>
    <row r="369" spans="1:8" ht="14.4">
      <c r="A369" s="53" t="s">
        <v>844</v>
      </c>
      <c r="B369" s="53" t="s">
        <v>845</v>
      </c>
      <c r="C369" s="54" t="s">
        <v>87</v>
      </c>
      <c r="D369" s="53" t="s">
        <v>256</v>
      </c>
      <c r="F369" s="35"/>
      <c r="H369" s="36"/>
    </row>
    <row r="370" spans="1:8" ht="14.4">
      <c r="A370" s="53" t="s">
        <v>846</v>
      </c>
      <c r="B370" s="53" t="s">
        <v>847</v>
      </c>
      <c r="C370" s="54" t="s">
        <v>87</v>
      </c>
      <c r="D370" s="53" t="s">
        <v>318</v>
      </c>
    </row>
    <row r="371" spans="1:8" ht="14.4">
      <c r="A371" s="53" t="s">
        <v>848</v>
      </c>
      <c r="B371" s="53" t="s">
        <v>849</v>
      </c>
      <c r="C371" s="54" t="s">
        <v>88</v>
      </c>
      <c r="D371" s="53"/>
    </row>
    <row r="372" spans="1:8" ht="14.4">
      <c r="A372" s="53" t="s">
        <v>850</v>
      </c>
      <c r="B372" s="53" t="s">
        <v>851</v>
      </c>
      <c r="C372" s="54" t="s">
        <v>87</v>
      </c>
      <c r="D372" s="53" t="s">
        <v>288</v>
      </c>
    </row>
    <row r="373" spans="1:8" ht="14.4">
      <c r="A373" s="53" t="s">
        <v>852</v>
      </c>
      <c r="B373" s="53" t="s">
        <v>853</v>
      </c>
      <c r="C373" s="54" t="s">
        <v>85</v>
      </c>
      <c r="D373" s="53"/>
    </row>
    <row r="374" spans="1:8" ht="14.4">
      <c r="A374" s="53" t="s">
        <v>854</v>
      </c>
      <c r="B374" s="53" t="s">
        <v>855</v>
      </c>
      <c r="C374" s="54" t="s">
        <v>89</v>
      </c>
      <c r="D374" s="53" t="s">
        <v>288</v>
      </c>
    </row>
    <row r="375" spans="1:8" ht="14.4">
      <c r="A375" s="53" t="s">
        <v>856</v>
      </c>
      <c r="B375" s="53" t="s">
        <v>857</v>
      </c>
      <c r="C375" s="54" t="s">
        <v>88</v>
      </c>
      <c r="D375" s="53"/>
    </row>
    <row r="376" spans="1:8" ht="14.4">
      <c r="A376" s="53" t="s">
        <v>858</v>
      </c>
      <c r="B376" s="53" t="s">
        <v>859</v>
      </c>
      <c r="C376" s="54" t="s">
        <v>88</v>
      </c>
      <c r="D376" s="53"/>
      <c r="F376" s="35"/>
    </row>
    <row r="377" spans="1:8" ht="14.4">
      <c r="A377" s="53" t="s">
        <v>860</v>
      </c>
      <c r="B377" s="53" t="s">
        <v>861</v>
      </c>
      <c r="C377" s="54" t="s">
        <v>88</v>
      </c>
      <c r="D377" s="53"/>
    </row>
    <row r="378" spans="1:8" ht="14.4">
      <c r="A378" s="53" t="s">
        <v>862</v>
      </c>
      <c r="B378" s="53" t="s">
        <v>863</v>
      </c>
      <c r="C378" s="54" t="s">
        <v>88</v>
      </c>
      <c r="D378" s="53"/>
    </row>
    <row r="379" spans="1:8" ht="14.4">
      <c r="A379" s="53" t="s">
        <v>864</v>
      </c>
      <c r="B379" s="53" t="s">
        <v>865</v>
      </c>
      <c r="C379" s="54" t="s">
        <v>88</v>
      </c>
      <c r="D379" s="53"/>
    </row>
    <row r="380" spans="1:8" ht="14.4">
      <c r="A380" s="53" t="s">
        <v>866</v>
      </c>
      <c r="B380" s="53" t="s">
        <v>867</v>
      </c>
      <c r="C380" s="54" t="s">
        <v>88</v>
      </c>
      <c r="D380" s="53"/>
    </row>
    <row r="381" spans="1:8" ht="14.4">
      <c r="A381" s="53" t="s">
        <v>868</v>
      </c>
      <c r="B381" s="53" t="s">
        <v>869</v>
      </c>
      <c r="C381" s="54" t="s">
        <v>89</v>
      </c>
      <c r="D381" s="53" t="s">
        <v>288</v>
      </c>
    </row>
    <row r="382" spans="1:8" ht="14.4">
      <c r="A382" s="53" t="s">
        <v>870</v>
      </c>
      <c r="B382" s="53" t="s">
        <v>871</v>
      </c>
      <c r="C382" s="54" t="s">
        <v>87</v>
      </c>
      <c r="D382" s="53" t="s">
        <v>256</v>
      </c>
    </row>
    <row r="383" spans="1:8" ht="14.4">
      <c r="A383" s="53" t="s">
        <v>872</v>
      </c>
      <c r="B383" s="53" t="s">
        <v>873</v>
      </c>
      <c r="C383" s="54" t="s">
        <v>88</v>
      </c>
      <c r="D383" s="53"/>
    </row>
    <row r="384" spans="1:8" ht="14.4">
      <c r="A384" s="53" t="s">
        <v>874</v>
      </c>
      <c r="B384" s="53" t="s">
        <v>875</v>
      </c>
      <c r="C384" s="54" t="s">
        <v>88</v>
      </c>
      <c r="D384" s="53"/>
    </row>
    <row r="385" spans="1:8" ht="14.4">
      <c r="A385" s="53" t="s">
        <v>876</v>
      </c>
      <c r="B385" s="53" t="s">
        <v>877</v>
      </c>
      <c r="C385" s="54" t="s">
        <v>88</v>
      </c>
      <c r="D385" s="53"/>
    </row>
    <row r="386" spans="1:8" ht="14.4">
      <c r="A386" s="53" t="s">
        <v>878</v>
      </c>
      <c r="B386" s="53" t="s">
        <v>879</v>
      </c>
      <c r="C386" s="54" t="s">
        <v>88</v>
      </c>
      <c r="D386" s="53"/>
    </row>
    <row r="387" spans="1:8" ht="14.4">
      <c r="A387" s="53" t="s">
        <v>880</v>
      </c>
      <c r="B387" s="53" t="s">
        <v>881</v>
      </c>
      <c r="C387" s="54" t="s">
        <v>84</v>
      </c>
      <c r="D387" s="53" t="s">
        <v>241</v>
      </c>
    </row>
    <row r="388" spans="1:8" ht="14.4">
      <c r="A388" s="53" t="s">
        <v>882</v>
      </c>
      <c r="B388" s="53" t="s">
        <v>883</v>
      </c>
      <c r="C388" s="54" t="s">
        <v>85</v>
      </c>
      <c r="D388" s="53"/>
    </row>
    <row r="389" spans="1:8" ht="14.4">
      <c r="A389" s="53" t="s">
        <v>884</v>
      </c>
      <c r="B389" s="53" t="s">
        <v>885</v>
      </c>
      <c r="C389" s="54" t="s">
        <v>89</v>
      </c>
      <c r="D389" s="53" t="s">
        <v>288</v>
      </c>
    </row>
    <row r="390" spans="1:8" ht="14.4">
      <c r="A390" s="53" t="s">
        <v>886</v>
      </c>
      <c r="B390" s="53" t="s">
        <v>887</v>
      </c>
      <c r="C390" s="54" t="s">
        <v>89</v>
      </c>
      <c r="D390" s="53" t="s">
        <v>288</v>
      </c>
    </row>
    <row r="391" spans="1:8" ht="14.4">
      <c r="A391" s="53" t="s">
        <v>888</v>
      </c>
      <c r="B391" s="53" t="s">
        <v>889</v>
      </c>
      <c r="C391" s="54" t="s">
        <v>89</v>
      </c>
      <c r="D391" s="53" t="s">
        <v>288</v>
      </c>
    </row>
    <row r="392" spans="1:8" ht="14.4">
      <c r="A392" s="53" t="s">
        <v>890</v>
      </c>
      <c r="B392" s="53" t="s">
        <v>891</v>
      </c>
      <c r="C392" s="54" t="s">
        <v>89</v>
      </c>
      <c r="D392" s="53" t="s">
        <v>288</v>
      </c>
    </row>
    <row r="393" spans="1:8" ht="14.4">
      <c r="A393" s="53" t="s">
        <v>892</v>
      </c>
      <c r="B393" s="53" t="s">
        <v>893</v>
      </c>
      <c r="C393" s="54" t="s">
        <v>89</v>
      </c>
      <c r="D393" s="53" t="s">
        <v>288</v>
      </c>
    </row>
    <row r="394" spans="1:8" ht="14.4">
      <c r="A394" s="53" t="s">
        <v>894</v>
      </c>
      <c r="B394" s="53" t="s">
        <v>895</v>
      </c>
      <c r="C394" s="54" t="s">
        <v>84</v>
      </c>
      <c r="D394" s="53" t="s">
        <v>241</v>
      </c>
    </row>
    <row r="395" spans="1:8" ht="14.4">
      <c r="A395" s="53" t="s">
        <v>896</v>
      </c>
      <c r="B395" s="53" t="s">
        <v>897</v>
      </c>
      <c r="C395" s="54" t="s">
        <v>84</v>
      </c>
      <c r="D395" s="53" t="s">
        <v>241</v>
      </c>
    </row>
    <row r="396" spans="1:8" ht="14.4">
      <c r="A396" s="53" t="s">
        <v>898</v>
      </c>
      <c r="B396" s="53" t="s">
        <v>899</v>
      </c>
      <c r="C396" s="54" t="s">
        <v>84</v>
      </c>
      <c r="D396" s="53" t="s">
        <v>241</v>
      </c>
      <c r="F396" s="36"/>
      <c r="H396" s="35"/>
    </row>
    <row r="397" spans="1:8" ht="14.4">
      <c r="A397" s="53" t="s">
        <v>900</v>
      </c>
      <c r="B397" s="53" t="s">
        <v>901</v>
      </c>
      <c r="C397" s="54" t="s">
        <v>84</v>
      </c>
      <c r="D397" s="53" t="s">
        <v>241</v>
      </c>
    </row>
    <row r="398" spans="1:8" ht="14.4">
      <c r="A398" s="53" t="s">
        <v>902</v>
      </c>
      <c r="B398" s="53" t="s">
        <v>903</v>
      </c>
      <c r="C398" s="54" t="s">
        <v>84</v>
      </c>
      <c r="D398" s="53" t="s">
        <v>241</v>
      </c>
    </row>
    <row r="399" spans="1:8" ht="14.4">
      <c r="A399" s="53" t="s">
        <v>904</v>
      </c>
      <c r="B399" s="53" t="s">
        <v>905</v>
      </c>
      <c r="C399" s="54" t="s">
        <v>84</v>
      </c>
      <c r="D399" s="53" t="s">
        <v>241</v>
      </c>
    </row>
    <row r="400" spans="1:8" ht="14.4">
      <c r="A400" s="53" t="s">
        <v>906</v>
      </c>
      <c r="B400" s="53" t="s">
        <v>907</v>
      </c>
      <c r="C400" s="54" t="s">
        <v>88</v>
      </c>
      <c r="D400" s="53"/>
    </row>
    <row r="401" spans="1:7" ht="14.4">
      <c r="A401" s="53" t="s">
        <v>908</v>
      </c>
      <c r="B401" s="53" t="s">
        <v>909</v>
      </c>
      <c r="C401" s="54" t="s">
        <v>88</v>
      </c>
      <c r="D401" s="53"/>
    </row>
    <row r="402" spans="1:7" ht="14.4">
      <c r="A402" s="53" t="s">
        <v>910</v>
      </c>
      <c r="B402" s="53" t="s">
        <v>911</v>
      </c>
      <c r="C402" s="54" t="s">
        <v>88</v>
      </c>
      <c r="D402" s="53"/>
    </row>
    <row r="403" spans="1:7" ht="14.4">
      <c r="A403" s="53" t="s">
        <v>912</v>
      </c>
      <c r="B403" s="53" t="s">
        <v>913</v>
      </c>
      <c r="C403" s="54" t="s">
        <v>88</v>
      </c>
      <c r="D403" s="53"/>
    </row>
    <row r="404" spans="1:7" ht="14.4">
      <c r="A404" s="53" t="s">
        <v>914</v>
      </c>
      <c r="B404" s="53" t="s">
        <v>915</v>
      </c>
      <c r="C404" s="54" t="s">
        <v>85</v>
      </c>
      <c r="D404" s="53"/>
    </row>
    <row r="405" spans="1:7" ht="14.4">
      <c r="A405" s="53" t="s">
        <v>916</v>
      </c>
      <c r="B405" s="53" t="s">
        <v>917</v>
      </c>
      <c r="C405" s="54" t="s">
        <v>89</v>
      </c>
      <c r="D405" s="53" t="s">
        <v>387</v>
      </c>
      <c r="G405" s="35"/>
    </row>
    <row r="406" spans="1:7" ht="14.4">
      <c r="A406" s="53" t="s">
        <v>918</v>
      </c>
      <c r="B406" s="53" t="s">
        <v>919</v>
      </c>
      <c r="C406" s="54" t="s">
        <v>87</v>
      </c>
      <c r="D406" s="53" t="s">
        <v>256</v>
      </c>
    </row>
    <row r="407" spans="1:7" ht="14.4">
      <c r="A407" s="53" t="s">
        <v>920</v>
      </c>
      <c r="B407" s="53" t="s">
        <v>921</v>
      </c>
      <c r="C407" s="54" t="s">
        <v>85</v>
      </c>
      <c r="D407" s="53"/>
    </row>
    <row r="408" spans="1:7" ht="14.4">
      <c r="A408" s="53" t="s">
        <v>922</v>
      </c>
      <c r="B408" s="53" t="s">
        <v>923</v>
      </c>
      <c r="C408" s="54" t="s">
        <v>89</v>
      </c>
      <c r="D408" s="53" t="s">
        <v>288</v>
      </c>
    </row>
    <row r="409" spans="1:7" ht="14.4">
      <c r="A409" s="53" t="s">
        <v>924</v>
      </c>
      <c r="B409" s="53" t="s">
        <v>925</v>
      </c>
      <c r="C409" s="54" t="s">
        <v>89</v>
      </c>
      <c r="D409" s="53" t="s">
        <v>288</v>
      </c>
    </row>
    <row r="410" spans="1:7" ht="14.4">
      <c r="A410" s="53" t="s">
        <v>926</v>
      </c>
      <c r="B410" s="53" t="s">
        <v>927</v>
      </c>
      <c r="C410" s="54" t="s">
        <v>89</v>
      </c>
      <c r="D410" s="53" t="s">
        <v>288</v>
      </c>
      <c r="G410" s="49"/>
    </row>
    <row r="411" spans="1:7" ht="14.4">
      <c r="A411" s="53" t="s">
        <v>928</v>
      </c>
      <c r="B411" s="53" t="s">
        <v>929</v>
      </c>
      <c r="C411" s="54" t="s">
        <v>89</v>
      </c>
      <c r="D411" s="53" t="s">
        <v>288</v>
      </c>
      <c r="G411" s="49"/>
    </row>
    <row r="412" spans="1:7" ht="14.4">
      <c r="A412" s="53" t="s">
        <v>930</v>
      </c>
      <c r="B412" s="53" t="s">
        <v>931</v>
      </c>
      <c r="C412" s="54" t="s">
        <v>87</v>
      </c>
      <c r="D412" s="53" t="s">
        <v>318</v>
      </c>
    </row>
    <row r="413" spans="1:7" ht="14.4">
      <c r="A413" s="53" t="s">
        <v>932</v>
      </c>
      <c r="B413" s="53" t="s">
        <v>933</v>
      </c>
      <c r="C413" s="54" t="s">
        <v>88</v>
      </c>
      <c r="D413" s="53"/>
    </row>
    <row r="414" spans="1:7" ht="14.4">
      <c r="A414" s="53" t="s">
        <v>934</v>
      </c>
      <c r="B414" s="53" t="s">
        <v>935</v>
      </c>
      <c r="C414" s="54" t="s">
        <v>85</v>
      </c>
      <c r="D414" s="53"/>
    </row>
    <row r="415" spans="1:7" ht="14.4">
      <c r="A415" s="53" t="s">
        <v>936</v>
      </c>
      <c r="B415" s="53" t="s">
        <v>937</v>
      </c>
      <c r="C415" s="54" t="s">
        <v>85</v>
      </c>
      <c r="D415" s="53"/>
    </row>
    <row r="416" spans="1:7" ht="14.4">
      <c r="A416" s="53" t="s">
        <v>938</v>
      </c>
      <c r="B416" s="53" t="s">
        <v>939</v>
      </c>
      <c r="C416" s="54" t="s">
        <v>88</v>
      </c>
      <c r="D416" s="53"/>
    </row>
    <row r="417" spans="1:6" ht="14.4">
      <c r="A417" s="53" t="s">
        <v>940</v>
      </c>
      <c r="B417" s="53" t="s">
        <v>941</v>
      </c>
      <c r="C417" s="54" t="s">
        <v>88</v>
      </c>
      <c r="D417" s="53"/>
    </row>
    <row r="418" spans="1:6" ht="14.4">
      <c r="A418" s="53" t="s">
        <v>942</v>
      </c>
      <c r="B418" s="53" t="s">
        <v>943</v>
      </c>
      <c r="C418" s="54" t="s">
        <v>84</v>
      </c>
      <c r="D418" s="53" t="s">
        <v>241</v>
      </c>
    </row>
    <row r="419" spans="1:6" ht="14.4">
      <c r="A419" s="53" t="s">
        <v>944</v>
      </c>
      <c r="B419" s="53" t="s">
        <v>945</v>
      </c>
      <c r="C419" s="54" t="s">
        <v>84</v>
      </c>
      <c r="D419" s="53" t="s">
        <v>241</v>
      </c>
    </row>
    <row r="420" spans="1:6" ht="14.4">
      <c r="A420" s="53" t="s">
        <v>946</v>
      </c>
      <c r="B420" s="53" t="s">
        <v>947</v>
      </c>
      <c r="C420" s="54" t="s">
        <v>84</v>
      </c>
      <c r="D420" s="53" t="s">
        <v>241</v>
      </c>
    </row>
    <row r="421" spans="1:6" ht="14.4">
      <c r="A421" s="53" t="s">
        <v>948</v>
      </c>
      <c r="B421" s="53" t="s">
        <v>949</v>
      </c>
      <c r="C421" s="54" t="s">
        <v>89</v>
      </c>
      <c r="D421" s="53" t="s">
        <v>524</v>
      </c>
    </row>
    <row r="422" spans="1:6" ht="14.4">
      <c r="A422" s="53" t="s">
        <v>950</v>
      </c>
      <c r="B422" s="53" t="s">
        <v>951</v>
      </c>
      <c r="C422" s="54" t="s">
        <v>89</v>
      </c>
      <c r="D422" s="53" t="s">
        <v>524</v>
      </c>
    </row>
    <row r="423" spans="1:6" ht="14.4">
      <c r="A423" s="53" t="s">
        <v>952</v>
      </c>
      <c r="B423" s="53" t="s">
        <v>953</v>
      </c>
      <c r="C423" s="54" t="s">
        <v>84</v>
      </c>
      <c r="D423" s="53" t="s">
        <v>268</v>
      </c>
    </row>
    <row r="424" spans="1:6" ht="14.4">
      <c r="A424" s="53" t="s">
        <v>954</v>
      </c>
      <c r="B424" s="53" t="s">
        <v>955</v>
      </c>
      <c r="C424" s="54" t="s">
        <v>85</v>
      </c>
      <c r="D424" s="53"/>
    </row>
    <row r="425" spans="1:6" ht="14.4">
      <c r="A425" s="53" t="s">
        <v>956</v>
      </c>
      <c r="B425" s="53" t="s">
        <v>957</v>
      </c>
      <c r="C425" s="54" t="s">
        <v>88</v>
      </c>
      <c r="D425" s="53"/>
    </row>
    <row r="426" spans="1:6" ht="14.4">
      <c r="A426" s="53" t="s">
        <v>958</v>
      </c>
      <c r="B426" s="53" t="s">
        <v>959</v>
      </c>
      <c r="C426" s="54" t="s">
        <v>84</v>
      </c>
      <c r="D426" s="53" t="s">
        <v>694</v>
      </c>
    </row>
    <row r="427" spans="1:6" ht="14.4">
      <c r="A427" s="53" t="s">
        <v>960</v>
      </c>
      <c r="B427" s="53" t="s">
        <v>961</v>
      </c>
      <c r="C427" s="54" t="s">
        <v>84</v>
      </c>
      <c r="D427" s="53" t="s">
        <v>694</v>
      </c>
    </row>
    <row r="428" spans="1:6" ht="14.4">
      <c r="A428" s="53" t="s">
        <v>962</v>
      </c>
      <c r="B428" s="53" t="s">
        <v>963</v>
      </c>
      <c r="C428" s="54" t="s">
        <v>84</v>
      </c>
      <c r="D428" s="53" t="s">
        <v>694</v>
      </c>
    </row>
    <row r="429" spans="1:6" ht="14.4">
      <c r="A429" s="53" t="s">
        <v>964</v>
      </c>
      <c r="B429" s="53" t="s">
        <v>965</v>
      </c>
      <c r="C429" s="54" t="s">
        <v>84</v>
      </c>
      <c r="D429" s="53" t="s">
        <v>694</v>
      </c>
    </row>
    <row r="430" spans="1:6" ht="14.4">
      <c r="A430" s="53" t="s">
        <v>966</v>
      </c>
      <c r="B430" s="53" t="s">
        <v>967</v>
      </c>
      <c r="C430" s="54" t="s">
        <v>88</v>
      </c>
      <c r="D430" s="53"/>
    </row>
    <row r="431" spans="1:6" ht="14.4">
      <c r="A431" s="53" t="s">
        <v>968</v>
      </c>
      <c r="B431" s="53" t="s">
        <v>969</v>
      </c>
      <c r="C431" s="54" t="s">
        <v>84</v>
      </c>
      <c r="D431" s="53" t="s">
        <v>694</v>
      </c>
    </row>
    <row r="432" spans="1:6" ht="14.4">
      <c r="A432" s="53" t="s">
        <v>970</v>
      </c>
      <c r="B432" s="53" t="s">
        <v>971</v>
      </c>
      <c r="C432" s="54" t="s">
        <v>84</v>
      </c>
      <c r="D432" s="53" t="s">
        <v>694</v>
      </c>
      <c r="F432" s="35"/>
    </row>
    <row r="433" spans="1:6" ht="14.4">
      <c r="A433" s="53" t="s">
        <v>972</v>
      </c>
      <c r="B433" s="53" t="s">
        <v>973</v>
      </c>
      <c r="C433" s="54" t="s">
        <v>88</v>
      </c>
      <c r="D433" s="53"/>
      <c r="F433" s="35"/>
    </row>
    <row r="434" spans="1:6" ht="14.4">
      <c r="A434" s="53" t="s">
        <v>974</v>
      </c>
      <c r="B434" s="53" t="s">
        <v>975</v>
      </c>
      <c r="C434" s="54" t="s">
        <v>88</v>
      </c>
      <c r="D434" s="53"/>
    </row>
    <row r="435" spans="1:6" ht="14.4">
      <c r="A435" s="53" t="s">
        <v>976</v>
      </c>
      <c r="B435" s="53" t="s">
        <v>977</v>
      </c>
      <c r="C435" s="54" t="s">
        <v>84</v>
      </c>
      <c r="D435" s="53" t="s">
        <v>241</v>
      </c>
    </row>
    <row r="436" spans="1:6" ht="14.4">
      <c r="A436" s="53" t="s">
        <v>978</v>
      </c>
      <c r="B436" s="53" t="s">
        <v>979</v>
      </c>
      <c r="C436" s="54" t="s">
        <v>89</v>
      </c>
      <c r="D436" s="53" t="s">
        <v>130</v>
      </c>
    </row>
    <row r="437" spans="1:6" ht="14.4">
      <c r="A437" s="53" t="s">
        <v>980</v>
      </c>
      <c r="B437" s="53" t="s">
        <v>981</v>
      </c>
      <c r="C437" s="54" t="s">
        <v>89</v>
      </c>
      <c r="D437" s="53" t="s">
        <v>130</v>
      </c>
    </row>
    <row r="438" spans="1:6" ht="14.4">
      <c r="A438" s="53" t="s">
        <v>982</v>
      </c>
      <c r="B438" s="53" t="s">
        <v>983</v>
      </c>
      <c r="C438" s="54" t="s">
        <v>89</v>
      </c>
      <c r="D438" s="53" t="s">
        <v>130</v>
      </c>
    </row>
    <row r="439" spans="1:6" ht="14.4">
      <c r="A439" s="53" t="s">
        <v>984</v>
      </c>
      <c r="B439" s="53" t="s">
        <v>985</v>
      </c>
      <c r="C439" s="54" t="s">
        <v>89</v>
      </c>
      <c r="D439" s="53" t="s">
        <v>130</v>
      </c>
    </row>
    <row r="440" spans="1:6" ht="14.4">
      <c r="A440" s="53" t="s">
        <v>986</v>
      </c>
      <c r="B440" s="53" t="s">
        <v>987</v>
      </c>
      <c r="C440" s="54" t="s">
        <v>89</v>
      </c>
      <c r="D440" s="53" t="s">
        <v>130</v>
      </c>
    </row>
    <row r="441" spans="1:6" ht="14.4">
      <c r="A441" s="53" t="s">
        <v>988</v>
      </c>
      <c r="B441" s="53" t="s">
        <v>989</v>
      </c>
      <c r="C441" s="54" t="s">
        <v>89</v>
      </c>
      <c r="D441" s="53" t="s">
        <v>130</v>
      </c>
    </row>
    <row r="442" spans="1:6" ht="14.4">
      <c r="A442" s="53" t="s">
        <v>990</v>
      </c>
      <c r="B442" s="53" t="s">
        <v>991</v>
      </c>
      <c r="C442" s="54" t="s">
        <v>89</v>
      </c>
      <c r="D442" s="53"/>
    </row>
    <row r="443" spans="1:6" ht="14.4">
      <c r="A443" s="53" t="s">
        <v>992</v>
      </c>
      <c r="B443" s="53" t="s">
        <v>993</v>
      </c>
      <c r="C443" s="54" t="s">
        <v>89</v>
      </c>
      <c r="D443" s="53" t="s">
        <v>130</v>
      </c>
    </row>
    <row r="444" spans="1:6" ht="14.4">
      <c r="A444" s="53" t="s">
        <v>994</v>
      </c>
      <c r="B444" s="53" t="s">
        <v>995</v>
      </c>
      <c r="C444" s="54" t="s">
        <v>89</v>
      </c>
      <c r="D444" s="53" t="s">
        <v>337</v>
      </c>
    </row>
    <row r="445" spans="1:6" ht="14.4">
      <c r="A445" s="53" t="s">
        <v>996</v>
      </c>
      <c r="B445" s="53" t="s">
        <v>997</v>
      </c>
      <c r="C445" s="54" t="s">
        <v>87</v>
      </c>
      <c r="D445" s="53" t="s">
        <v>998</v>
      </c>
    </row>
    <row r="446" spans="1:6" ht="14.4">
      <c r="A446" s="53" t="s">
        <v>999</v>
      </c>
      <c r="B446" s="53" t="s">
        <v>1000</v>
      </c>
      <c r="C446" s="54" t="s">
        <v>89</v>
      </c>
      <c r="D446" s="53" t="s">
        <v>387</v>
      </c>
    </row>
    <row r="447" spans="1:6" ht="14.4">
      <c r="A447" s="53" t="s">
        <v>1001</v>
      </c>
      <c r="B447" s="53" t="s">
        <v>1002</v>
      </c>
      <c r="C447" s="54" t="s">
        <v>89</v>
      </c>
      <c r="D447" s="53" t="s">
        <v>387</v>
      </c>
    </row>
    <row r="448" spans="1:6" ht="14.4">
      <c r="A448" s="53" t="s">
        <v>1003</v>
      </c>
      <c r="B448" s="53" t="s">
        <v>1004</v>
      </c>
      <c r="C448" s="54" t="s">
        <v>89</v>
      </c>
      <c r="D448" s="53" t="s">
        <v>387</v>
      </c>
    </row>
    <row r="449" spans="1:4" ht="14.4">
      <c r="A449" s="53" t="s">
        <v>1005</v>
      </c>
      <c r="B449" s="53" t="s">
        <v>1006</v>
      </c>
      <c r="C449" s="54" t="s">
        <v>89</v>
      </c>
      <c r="D449" s="53" t="s">
        <v>387</v>
      </c>
    </row>
    <row r="450" spans="1:4" ht="14.4">
      <c r="A450" s="53" t="s">
        <v>1007</v>
      </c>
      <c r="B450" s="53" t="s">
        <v>1008</v>
      </c>
      <c r="C450" s="54" t="s">
        <v>89</v>
      </c>
      <c r="D450" s="53" t="s">
        <v>387</v>
      </c>
    </row>
    <row r="451" spans="1:4" ht="14.4">
      <c r="A451" s="53" t="s">
        <v>1009</v>
      </c>
      <c r="B451" s="53" t="s">
        <v>1010</v>
      </c>
      <c r="C451" s="54" t="s">
        <v>89</v>
      </c>
      <c r="D451" s="53" t="s">
        <v>387</v>
      </c>
    </row>
    <row r="452" spans="1:4" ht="14.4">
      <c r="A452" s="53" t="s">
        <v>1011</v>
      </c>
      <c r="B452" s="53" t="s">
        <v>1012</v>
      </c>
      <c r="C452" s="54" t="s">
        <v>89</v>
      </c>
      <c r="D452" s="53" t="s">
        <v>387</v>
      </c>
    </row>
    <row r="453" spans="1:4" ht="14.4">
      <c r="A453" s="53" t="s">
        <v>1013</v>
      </c>
      <c r="B453" s="53" t="s">
        <v>1014</v>
      </c>
      <c r="C453" s="54" t="s">
        <v>85</v>
      </c>
      <c r="D453" s="53"/>
    </row>
    <row r="454" spans="1:4" ht="14.4">
      <c r="A454" s="53" t="s">
        <v>1015</v>
      </c>
      <c r="B454" s="53" t="s">
        <v>1016</v>
      </c>
      <c r="C454" s="54" t="s">
        <v>89</v>
      </c>
      <c r="D454" s="53" t="s">
        <v>524</v>
      </c>
    </row>
    <row r="455" spans="1:4" ht="14.4">
      <c r="A455" s="53" t="s">
        <v>1017</v>
      </c>
      <c r="B455" s="53" t="s">
        <v>1018</v>
      </c>
      <c r="C455" s="54" t="s">
        <v>87</v>
      </c>
      <c r="D455" s="53" t="s">
        <v>998</v>
      </c>
    </row>
    <row r="456" spans="1:4" ht="14.4">
      <c r="A456" s="53" t="s">
        <v>1019</v>
      </c>
      <c r="B456" s="53" t="s">
        <v>1020</v>
      </c>
      <c r="C456" s="54" t="s">
        <v>87</v>
      </c>
      <c r="D456" s="53" t="s">
        <v>998</v>
      </c>
    </row>
    <row r="457" spans="1:4" ht="14.4">
      <c r="A457" s="53" t="s">
        <v>1021</v>
      </c>
      <c r="B457" s="53" t="s">
        <v>1022</v>
      </c>
      <c r="C457" s="54" t="s">
        <v>87</v>
      </c>
      <c r="D457" s="53" t="s">
        <v>998</v>
      </c>
    </row>
    <row r="458" spans="1:4" ht="14.4">
      <c r="A458" s="53" t="s">
        <v>1023</v>
      </c>
      <c r="B458" s="53" t="s">
        <v>1024</v>
      </c>
      <c r="C458" s="54" t="s">
        <v>87</v>
      </c>
      <c r="D458" s="53" t="s">
        <v>998</v>
      </c>
    </row>
    <row r="459" spans="1:4" ht="14.4">
      <c r="A459" s="53" t="s">
        <v>1025</v>
      </c>
      <c r="B459" s="53" t="s">
        <v>1026</v>
      </c>
      <c r="C459" s="54" t="s">
        <v>87</v>
      </c>
      <c r="D459" s="53" t="s">
        <v>998</v>
      </c>
    </row>
    <row r="460" spans="1:4" ht="14.4">
      <c r="A460" s="53" t="s">
        <v>1027</v>
      </c>
      <c r="B460" s="53" t="s">
        <v>1028</v>
      </c>
      <c r="C460" s="54" t="s">
        <v>87</v>
      </c>
      <c r="D460" s="53" t="s">
        <v>998</v>
      </c>
    </row>
    <row r="461" spans="1:4" ht="14.4">
      <c r="A461" s="53" t="s">
        <v>1029</v>
      </c>
      <c r="B461" s="53" t="s">
        <v>1030</v>
      </c>
      <c r="C461" s="54" t="s">
        <v>87</v>
      </c>
      <c r="D461" s="53" t="s">
        <v>998</v>
      </c>
    </row>
    <row r="462" spans="1:4" ht="14.4">
      <c r="A462" s="53" t="s">
        <v>1031</v>
      </c>
      <c r="B462" s="53" t="s">
        <v>1032</v>
      </c>
      <c r="C462" s="54" t="s">
        <v>84</v>
      </c>
      <c r="D462" s="53" t="s">
        <v>241</v>
      </c>
    </row>
    <row r="463" spans="1:4" ht="14.4">
      <c r="A463" s="53" t="s">
        <v>1033</v>
      </c>
      <c r="B463" s="53" t="s">
        <v>1034</v>
      </c>
      <c r="C463" s="54" t="s">
        <v>84</v>
      </c>
      <c r="D463" s="53" t="s">
        <v>241</v>
      </c>
    </row>
    <row r="464" spans="1:4" ht="14.4">
      <c r="A464" s="53" t="s">
        <v>1035</v>
      </c>
      <c r="B464" s="53" t="s">
        <v>1036</v>
      </c>
      <c r="C464" s="54" t="s">
        <v>84</v>
      </c>
      <c r="D464" s="53" t="s">
        <v>241</v>
      </c>
    </row>
    <row r="465" spans="1:4" ht="14.4">
      <c r="A465" s="53" t="s">
        <v>1037</v>
      </c>
      <c r="B465" s="53" t="s">
        <v>1038</v>
      </c>
      <c r="C465" s="54" t="s">
        <v>84</v>
      </c>
      <c r="D465" s="53" t="s">
        <v>268</v>
      </c>
    </row>
    <row r="466" spans="1:4" ht="14.4">
      <c r="A466" s="53" t="s">
        <v>1039</v>
      </c>
      <c r="B466" s="53" t="s">
        <v>1040</v>
      </c>
      <c r="C466" s="54" t="s">
        <v>84</v>
      </c>
      <c r="D466" s="53" t="s">
        <v>268</v>
      </c>
    </row>
    <row r="467" spans="1:4" ht="14.4">
      <c r="A467" s="53" t="s">
        <v>1041</v>
      </c>
      <c r="B467" s="53" t="s">
        <v>1042</v>
      </c>
      <c r="C467" s="54" t="s">
        <v>84</v>
      </c>
      <c r="D467" s="53" t="s">
        <v>268</v>
      </c>
    </row>
    <row r="468" spans="1:4" ht="14.4">
      <c r="A468" s="53" t="s">
        <v>1043</v>
      </c>
      <c r="B468" s="53" t="s">
        <v>1044</v>
      </c>
      <c r="C468" s="54" t="s">
        <v>85</v>
      </c>
      <c r="D468" s="53"/>
    </row>
    <row r="469" spans="1:4" ht="14.4">
      <c r="A469" s="53" t="s">
        <v>1045</v>
      </c>
      <c r="B469" s="53" t="s">
        <v>1046</v>
      </c>
      <c r="C469" s="54" t="s">
        <v>84</v>
      </c>
      <c r="D469" s="53" t="s">
        <v>268</v>
      </c>
    </row>
    <row r="470" spans="1:4" ht="14.4">
      <c r="A470" s="53" t="s">
        <v>1047</v>
      </c>
      <c r="B470" s="53" t="s">
        <v>1048</v>
      </c>
      <c r="C470" s="54" t="s">
        <v>84</v>
      </c>
      <c r="D470" s="53" t="s">
        <v>268</v>
      </c>
    </row>
    <row r="471" spans="1:4" ht="14.4">
      <c r="A471" s="53" t="s">
        <v>1049</v>
      </c>
      <c r="B471" s="53" t="s">
        <v>1050</v>
      </c>
      <c r="C471" s="54" t="s">
        <v>84</v>
      </c>
      <c r="D471" s="53" t="s">
        <v>268</v>
      </c>
    </row>
    <row r="472" spans="1:4" ht="14.4">
      <c r="A472" s="53" t="s">
        <v>1051</v>
      </c>
      <c r="B472" s="53" t="s">
        <v>1052</v>
      </c>
      <c r="C472" s="54" t="s">
        <v>84</v>
      </c>
      <c r="D472" s="53" t="s">
        <v>268</v>
      </c>
    </row>
    <row r="473" spans="1:4" ht="14.4">
      <c r="A473" s="53" t="s">
        <v>1053</v>
      </c>
      <c r="B473" s="53" t="s">
        <v>1054</v>
      </c>
      <c r="C473" s="54" t="s">
        <v>85</v>
      </c>
      <c r="D473" s="53"/>
    </row>
    <row r="474" spans="1:4" ht="14.4">
      <c r="A474" s="53" t="s">
        <v>1055</v>
      </c>
      <c r="B474" s="53" t="s">
        <v>1056</v>
      </c>
      <c r="C474" s="54" t="s">
        <v>85</v>
      </c>
      <c r="D474" s="53"/>
    </row>
    <row r="475" spans="1:4" ht="14.4">
      <c r="A475" s="53" t="s">
        <v>1057</v>
      </c>
      <c r="B475" s="53" t="s">
        <v>1058</v>
      </c>
      <c r="C475" s="54" t="s">
        <v>84</v>
      </c>
      <c r="D475" s="53" t="s">
        <v>268</v>
      </c>
    </row>
    <row r="476" spans="1:4" ht="14.4">
      <c r="A476" s="53" t="s">
        <v>1059</v>
      </c>
      <c r="B476" s="53" t="s">
        <v>1060</v>
      </c>
      <c r="C476" s="54" t="s">
        <v>89</v>
      </c>
      <c r="D476" s="53" t="s">
        <v>130</v>
      </c>
    </row>
    <row r="477" spans="1:4" ht="14.4">
      <c r="A477" s="53" t="s">
        <v>1061</v>
      </c>
      <c r="B477" s="53" t="s">
        <v>1062</v>
      </c>
      <c r="C477" s="54" t="s">
        <v>89</v>
      </c>
      <c r="D477" s="53" t="s">
        <v>130</v>
      </c>
    </row>
    <row r="478" spans="1:4" ht="14.4">
      <c r="A478" s="53" t="s">
        <v>1063</v>
      </c>
      <c r="B478" s="53" t="s">
        <v>1064</v>
      </c>
      <c r="C478" s="54" t="s">
        <v>89</v>
      </c>
      <c r="D478" s="53" t="s">
        <v>130</v>
      </c>
    </row>
    <row r="479" spans="1:4" ht="14.4">
      <c r="A479" s="53" t="s">
        <v>1065</v>
      </c>
      <c r="B479" s="53" t="s">
        <v>1066</v>
      </c>
      <c r="C479" s="54" t="s">
        <v>89</v>
      </c>
      <c r="D479" s="53" t="s">
        <v>130</v>
      </c>
    </row>
    <row r="480" spans="1:4" ht="14.4">
      <c r="A480" s="53" t="s">
        <v>1067</v>
      </c>
      <c r="B480" s="53" t="s">
        <v>1068</v>
      </c>
      <c r="C480" s="54" t="s">
        <v>89</v>
      </c>
      <c r="D480" s="53" t="s">
        <v>130</v>
      </c>
    </row>
    <row r="481" spans="1:8" ht="14.4">
      <c r="A481" s="53" t="s">
        <v>1069</v>
      </c>
      <c r="B481" s="53" t="s">
        <v>1070</v>
      </c>
      <c r="C481" s="54" t="s">
        <v>89</v>
      </c>
      <c r="D481" s="53" t="s">
        <v>130</v>
      </c>
    </row>
    <row r="482" spans="1:8" ht="14.4">
      <c r="A482" s="53" t="s">
        <v>1071</v>
      </c>
      <c r="B482" s="53" t="s">
        <v>1072</v>
      </c>
      <c r="C482" s="54" t="s">
        <v>89</v>
      </c>
      <c r="D482" s="53" t="s">
        <v>631</v>
      </c>
    </row>
    <row r="483" spans="1:8" ht="14.4">
      <c r="A483" s="53" t="s">
        <v>1073</v>
      </c>
      <c r="B483" s="53" t="s">
        <v>1074</v>
      </c>
      <c r="C483" s="54" t="s">
        <v>89</v>
      </c>
      <c r="D483" s="53" t="s">
        <v>631</v>
      </c>
    </row>
    <row r="484" spans="1:8" ht="14.4">
      <c r="A484" s="53" t="s">
        <v>3088</v>
      </c>
      <c r="B484" s="53" t="s">
        <v>3089</v>
      </c>
      <c r="C484" s="54" t="s">
        <v>89</v>
      </c>
      <c r="D484" s="53" t="s">
        <v>631</v>
      </c>
      <c r="H484" s="35"/>
    </row>
    <row r="485" spans="1:8" ht="14.4">
      <c r="A485" s="53" t="s">
        <v>1075</v>
      </c>
      <c r="B485" s="53" t="s">
        <v>1076</v>
      </c>
      <c r="C485" s="54" t="s">
        <v>89</v>
      </c>
      <c r="D485" s="53" t="s">
        <v>121</v>
      </c>
    </row>
    <row r="486" spans="1:8" ht="14.4">
      <c r="A486" s="53" t="s">
        <v>1077</v>
      </c>
      <c r="B486" s="53" t="s">
        <v>1078</v>
      </c>
      <c r="C486" s="54" t="s">
        <v>89</v>
      </c>
      <c r="D486" s="53" t="s">
        <v>631</v>
      </c>
      <c r="H486" s="35"/>
    </row>
    <row r="487" spans="1:8" ht="14.4">
      <c r="A487" s="53" t="s">
        <v>1079</v>
      </c>
      <c r="B487" s="53" t="s">
        <v>1080</v>
      </c>
      <c r="C487" s="54" t="s">
        <v>89</v>
      </c>
      <c r="D487" s="53" t="s">
        <v>631</v>
      </c>
    </row>
    <row r="488" spans="1:8" ht="14.4">
      <c r="A488" s="53" t="s">
        <v>1081</v>
      </c>
      <c r="B488" s="53" t="s">
        <v>1082</v>
      </c>
      <c r="C488" s="54" t="s">
        <v>89</v>
      </c>
      <c r="D488" s="53" t="s">
        <v>631</v>
      </c>
    </row>
    <row r="489" spans="1:8" ht="14.4">
      <c r="A489" s="53" t="s">
        <v>1083</v>
      </c>
      <c r="B489" s="53" t="s">
        <v>1084</v>
      </c>
      <c r="C489" s="54" t="s">
        <v>89</v>
      </c>
      <c r="D489" s="53" t="s">
        <v>631</v>
      </c>
    </row>
    <row r="490" spans="1:8" ht="14.4">
      <c r="A490" s="53" t="s">
        <v>1085</v>
      </c>
      <c r="B490" s="53" t="s">
        <v>1086</v>
      </c>
      <c r="C490" s="54" t="s">
        <v>89</v>
      </c>
      <c r="D490" s="53" t="s">
        <v>631</v>
      </c>
    </row>
    <row r="491" spans="1:8" ht="14.4">
      <c r="A491" s="53" t="s">
        <v>1087</v>
      </c>
      <c r="B491" s="53" t="s">
        <v>1088</v>
      </c>
      <c r="C491" s="54" t="s">
        <v>89</v>
      </c>
      <c r="D491" s="53" t="s">
        <v>631</v>
      </c>
    </row>
    <row r="492" spans="1:8" ht="14.4">
      <c r="A492" s="53" t="s">
        <v>1089</v>
      </c>
      <c r="B492" s="53" t="s">
        <v>1090</v>
      </c>
      <c r="C492" s="54" t="s">
        <v>89</v>
      </c>
      <c r="D492" s="53" t="s">
        <v>631</v>
      </c>
    </row>
    <row r="493" spans="1:8" ht="14.4">
      <c r="A493" s="53" t="s">
        <v>1085</v>
      </c>
      <c r="B493" s="53" t="s">
        <v>1091</v>
      </c>
      <c r="C493" s="54" t="s">
        <v>89</v>
      </c>
      <c r="D493" s="53" t="s">
        <v>631</v>
      </c>
      <c r="G493" s="35"/>
    </row>
    <row r="494" spans="1:8" ht="14.4">
      <c r="A494" s="53" t="s">
        <v>1092</v>
      </c>
      <c r="B494" s="53" t="s">
        <v>1093</v>
      </c>
      <c r="C494" s="54" t="s">
        <v>84</v>
      </c>
      <c r="D494" s="53" t="s">
        <v>207</v>
      </c>
      <c r="G494" s="35"/>
    </row>
    <row r="495" spans="1:8" ht="14.4">
      <c r="A495" s="53" t="s">
        <v>1094</v>
      </c>
      <c r="B495" s="53" t="s">
        <v>1095</v>
      </c>
      <c r="C495" s="54" t="s">
        <v>84</v>
      </c>
      <c r="D495" s="53" t="s">
        <v>207</v>
      </c>
    </row>
    <row r="496" spans="1:8" ht="14.4">
      <c r="A496" s="53" t="s">
        <v>1096</v>
      </c>
      <c r="B496" s="53" t="s">
        <v>1097</v>
      </c>
      <c r="C496" s="54" t="s">
        <v>84</v>
      </c>
      <c r="D496" s="53" t="s">
        <v>207</v>
      </c>
    </row>
    <row r="497" spans="1:6" ht="14.4">
      <c r="A497" s="53" t="s">
        <v>1098</v>
      </c>
      <c r="B497" s="53" t="s">
        <v>1099</v>
      </c>
      <c r="C497" s="54" t="s">
        <v>84</v>
      </c>
      <c r="D497" s="53" t="s">
        <v>207</v>
      </c>
    </row>
    <row r="498" spans="1:6" ht="14.4">
      <c r="A498" s="53" t="s">
        <v>1100</v>
      </c>
      <c r="B498" s="53" t="s">
        <v>1101</v>
      </c>
      <c r="C498" s="54" t="s">
        <v>84</v>
      </c>
      <c r="D498" s="53" t="s">
        <v>207</v>
      </c>
    </row>
    <row r="499" spans="1:6" ht="14.4">
      <c r="A499" s="53" t="s">
        <v>1102</v>
      </c>
      <c r="B499" s="53" t="s">
        <v>1103</v>
      </c>
      <c r="C499" s="54" t="s">
        <v>87</v>
      </c>
      <c r="D499" s="53" t="s">
        <v>318</v>
      </c>
    </row>
    <row r="500" spans="1:6" ht="14.4">
      <c r="A500" s="53" t="s">
        <v>3091</v>
      </c>
      <c r="B500" s="53" t="s">
        <v>3092</v>
      </c>
      <c r="C500" s="54" t="s">
        <v>87</v>
      </c>
      <c r="D500" s="53" t="s">
        <v>318</v>
      </c>
    </row>
    <row r="501" spans="1:6" ht="14.4">
      <c r="A501" s="53" t="s">
        <v>1104</v>
      </c>
      <c r="B501" s="53" t="s">
        <v>1105</v>
      </c>
      <c r="C501" s="54" t="s">
        <v>87</v>
      </c>
      <c r="D501" s="53" t="s">
        <v>318</v>
      </c>
    </row>
    <row r="502" spans="1:6" ht="14.4">
      <c r="A502" s="53" t="s">
        <v>1106</v>
      </c>
      <c r="B502" s="53" t="s">
        <v>1107</v>
      </c>
      <c r="C502" s="54" t="s">
        <v>84</v>
      </c>
      <c r="D502" s="53" t="s">
        <v>241</v>
      </c>
    </row>
    <row r="503" spans="1:6" ht="14.4">
      <c r="A503" s="53" t="s">
        <v>1108</v>
      </c>
      <c r="B503" s="53" t="s">
        <v>1109</v>
      </c>
      <c r="C503" s="54" t="s">
        <v>85</v>
      </c>
      <c r="D503" s="53"/>
    </row>
    <row r="504" spans="1:6" ht="14.4">
      <c r="A504" s="53" t="s">
        <v>1110</v>
      </c>
      <c r="B504" s="53" t="s">
        <v>1111</v>
      </c>
      <c r="C504" s="54" t="s">
        <v>84</v>
      </c>
      <c r="D504" s="53" t="s">
        <v>268</v>
      </c>
    </row>
    <row r="505" spans="1:6" ht="14.4">
      <c r="A505" s="53" t="s">
        <v>1112</v>
      </c>
      <c r="B505" s="53" t="s">
        <v>1113</v>
      </c>
      <c r="C505" s="54" t="s">
        <v>84</v>
      </c>
      <c r="D505" s="53" t="s">
        <v>268</v>
      </c>
    </row>
    <row r="506" spans="1:6" ht="14.4">
      <c r="A506" s="53" t="s">
        <v>1114</v>
      </c>
      <c r="B506" s="53" t="s">
        <v>1115</v>
      </c>
      <c r="C506" s="54" t="s">
        <v>84</v>
      </c>
      <c r="D506" s="53" t="s">
        <v>268</v>
      </c>
    </row>
    <row r="507" spans="1:6" ht="14.4">
      <c r="A507" s="53" t="s">
        <v>1116</v>
      </c>
      <c r="B507" s="53" t="s">
        <v>1117</v>
      </c>
      <c r="C507" s="54" t="s">
        <v>84</v>
      </c>
      <c r="D507" s="53" t="s">
        <v>268</v>
      </c>
      <c r="F507" s="35"/>
    </row>
    <row r="508" spans="1:6" ht="14.4">
      <c r="A508" s="53" t="s">
        <v>1118</v>
      </c>
      <c r="B508" s="53" t="s">
        <v>1119</v>
      </c>
      <c r="C508" s="54" t="s">
        <v>84</v>
      </c>
      <c r="D508" s="53" t="s">
        <v>268</v>
      </c>
      <c r="F508" s="35"/>
    </row>
    <row r="509" spans="1:6" ht="14.4">
      <c r="A509" s="53" t="s">
        <v>1120</v>
      </c>
      <c r="B509" s="53" t="s">
        <v>1121</v>
      </c>
      <c r="C509" s="54" t="s">
        <v>84</v>
      </c>
      <c r="D509" s="53" t="s">
        <v>268</v>
      </c>
    </row>
    <row r="510" spans="1:6" ht="14.4">
      <c r="A510" s="53" t="s">
        <v>1122</v>
      </c>
      <c r="B510" s="53" t="s">
        <v>1123</v>
      </c>
      <c r="C510" s="54" t="s">
        <v>84</v>
      </c>
      <c r="D510" s="53" t="s">
        <v>268</v>
      </c>
      <c r="F510" s="35"/>
    </row>
    <row r="511" spans="1:6" ht="14.4">
      <c r="A511" s="53" t="s">
        <v>1124</v>
      </c>
      <c r="B511" s="53" t="s">
        <v>1125</v>
      </c>
      <c r="C511" s="54" t="s">
        <v>88</v>
      </c>
      <c r="D511" s="53"/>
    </row>
    <row r="512" spans="1:6" ht="14.4">
      <c r="A512" s="53" t="s">
        <v>1126</v>
      </c>
      <c r="B512" s="53" t="s">
        <v>1127</v>
      </c>
      <c r="C512" s="54" t="s">
        <v>88</v>
      </c>
      <c r="D512" s="53"/>
    </row>
    <row r="513" spans="1:4" ht="14.4">
      <c r="A513" s="53" t="s">
        <v>1128</v>
      </c>
      <c r="B513" s="53" t="s">
        <v>1129</v>
      </c>
      <c r="C513" s="54" t="s">
        <v>88</v>
      </c>
      <c r="D513" s="53"/>
    </row>
    <row r="514" spans="1:4" ht="14.4">
      <c r="A514" s="53" t="s">
        <v>1130</v>
      </c>
      <c r="B514" s="53" t="s">
        <v>1131</v>
      </c>
      <c r="C514" s="54" t="s">
        <v>85</v>
      </c>
      <c r="D514" s="53"/>
    </row>
    <row r="515" spans="1:4" ht="14.4">
      <c r="A515" s="53" t="s">
        <v>1132</v>
      </c>
      <c r="B515" s="53" t="s">
        <v>1133</v>
      </c>
      <c r="C515" s="54" t="s">
        <v>85</v>
      </c>
      <c r="D515" s="53"/>
    </row>
    <row r="516" spans="1:4" ht="14.4">
      <c r="A516" s="53" t="s">
        <v>1134</v>
      </c>
      <c r="B516" s="53" t="s">
        <v>1135</v>
      </c>
      <c r="C516" s="54" t="s">
        <v>87</v>
      </c>
      <c r="D516" s="53" t="s">
        <v>256</v>
      </c>
    </row>
    <row r="517" spans="1:4" ht="14.4">
      <c r="A517" s="53" t="s">
        <v>1136</v>
      </c>
      <c r="B517" s="53" t="s">
        <v>1137</v>
      </c>
      <c r="C517" s="54" t="s">
        <v>87</v>
      </c>
      <c r="D517" s="53" t="s">
        <v>256</v>
      </c>
    </row>
    <row r="518" spans="1:4" ht="14.4">
      <c r="A518" s="53" t="s">
        <v>1138</v>
      </c>
      <c r="B518" s="53" t="s">
        <v>1139</v>
      </c>
      <c r="C518" s="54" t="s">
        <v>87</v>
      </c>
      <c r="D518" s="53" t="s">
        <v>256</v>
      </c>
    </row>
    <row r="519" spans="1:4" ht="14.4">
      <c r="A519" s="53" t="s">
        <v>1140</v>
      </c>
      <c r="B519" s="53" t="s">
        <v>1141</v>
      </c>
      <c r="C519" s="54" t="s">
        <v>59</v>
      </c>
      <c r="D519" s="53"/>
    </row>
    <row r="520" spans="1:4" ht="14.4">
      <c r="A520" s="53" t="s">
        <v>1142</v>
      </c>
      <c r="B520" s="53" t="s">
        <v>1143</v>
      </c>
      <c r="C520" s="54" t="s">
        <v>84</v>
      </c>
      <c r="D520" s="53" t="s">
        <v>241</v>
      </c>
    </row>
    <row r="521" spans="1:4" ht="14.4">
      <c r="A521" s="53" t="s">
        <v>1144</v>
      </c>
      <c r="B521" s="53" t="s">
        <v>1145</v>
      </c>
      <c r="C521" s="54" t="s">
        <v>84</v>
      </c>
      <c r="D521" s="53" t="s">
        <v>694</v>
      </c>
    </row>
    <row r="522" spans="1:4" ht="14.4">
      <c r="A522" s="53" t="s">
        <v>1146</v>
      </c>
      <c r="B522" s="53" t="s">
        <v>1147</v>
      </c>
      <c r="C522" s="54" t="s">
        <v>84</v>
      </c>
      <c r="D522" s="53" t="s">
        <v>694</v>
      </c>
    </row>
    <row r="523" spans="1:4" ht="14.4">
      <c r="A523" s="53" t="s">
        <v>1148</v>
      </c>
      <c r="B523" s="53" t="s">
        <v>1149</v>
      </c>
      <c r="C523" s="54" t="s">
        <v>85</v>
      </c>
      <c r="D523" s="53"/>
    </row>
    <row r="524" spans="1:4" ht="14.4">
      <c r="A524" s="53" t="s">
        <v>1150</v>
      </c>
      <c r="B524" s="53" t="s">
        <v>1151</v>
      </c>
      <c r="C524" s="54" t="s">
        <v>85</v>
      </c>
      <c r="D524" s="53"/>
    </row>
    <row r="525" spans="1:4" ht="14.4">
      <c r="A525" s="53" t="s">
        <v>1152</v>
      </c>
      <c r="B525" s="53" t="s">
        <v>1153</v>
      </c>
      <c r="C525" s="54" t="s">
        <v>85</v>
      </c>
      <c r="D525" s="53"/>
    </row>
    <row r="526" spans="1:4" ht="14.4">
      <c r="A526" s="53" t="s">
        <v>1154</v>
      </c>
      <c r="B526" s="53" t="s">
        <v>1155</v>
      </c>
      <c r="C526" s="54" t="s">
        <v>87</v>
      </c>
      <c r="D526" s="53" t="s">
        <v>256</v>
      </c>
    </row>
    <row r="527" spans="1:4" ht="14.4">
      <c r="A527" s="53" t="s">
        <v>1156</v>
      </c>
      <c r="B527" s="53" t="s">
        <v>1157</v>
      </c>
      <c r="C527" s="54" t="s">
        <v>84</v>
      </c>
      <c r="D527" s="53" t="s">
        <v>268</v>
      </c>
    </row>
    <row r="528" spans="1:4" ht="14.4">
      <c r="A528" s="53" t="s">
        <v>1158</v>
      </c>
      <c r="B528" s="53" t="s">
        <v>1159</v>
      </c>
      <c r="C528" s="54" t="s">
        <v>84</v>
      </c>
      <c r="D528" s="53" t="s">
        <v>268</v>
      </c>
    </row>
    <row r="529" spans="1:4" ht="14.4">
      <c r="A529" s="53" t="s">
        <v>1160</v>
      </c>
      <c r="B529" s="53" t="s">
        <v>1161</v>
      </c>
      <c r="C529" s="54" t="s">
        <v>84</v>
      </c>
      <c r="D529" s="53" t="s">
        <v>268</v>
      </c>
    </row>
    <row r="530" spans="1:4" ht="14.4">
      <c r="A530" s="53" t="s">
        <v>1162</v>
      </c>
      <c r="B530" s="53" t="s">
        <v>1163</v>
      </c>
      <c r="C530" s="54" t="s">
        <v>84</v>
      </c>
      <c r="D530" s="53" t="s">
        <v>268</v>
      </c>
    </row>
    <row r="531" spans="1:4" ht="14.4">
      <c r="A531" s="53" t="s">
        <v>1164</v>
      </c>
      <c r="B531" s="53" t="s">
        <v>1165</v>
      </c>
      <c r="C531" s="54" t="s">
        <v>87</v>
      </c>
      <c r="D531" s="53" t="s">
        <v>524</v>
      </c>
    </row>
    <row r="532" spans="1:4" ht="14.4">
      <c r="A532" s="53" t="s">
        <v>1166</v>
      </c>
      <c r="B532" s="53" t="s">
        <v>1167</v>
      </c>
      <c r="C532" s="54" t="s">
        <v>87</v>
      </c>
      <c r="D532" s="53" t="s">
        <v>524</v>
      </c>
    </row>
    <row r="533" spans="1:4" ht="14.4">
      <c r="A533" s="53" t="s">
        <v>1168</v>
      </c>
      <c r="B533" s="53" t="s">
        <v>1169</v>
      </c>
      <c r="C533" s="54" t="s">
        <v>84</v>
      </c>
      <c r="D533" s="53" t="s">
        <v>268</v>
      </c>
    </row>
    <row r="534" spans="1:4" ht="14.4">
      <c r="A534" s="53" t="s">
        <v>1170</v>
      </c>
      <c r="B534" s="53" t="s">
        <v>1171</v>
      </c>
      <c r="C534" s="54" t="s">
        <v>84</v>
      </c>
      <c r="D534" s="53" t="s">
        <v>268</v>
      </c>
    </row>
    <row r="535" spans="1:4" ht="14.4">
      <c r="A535" s="53" t="s">
        <v>1172</v>
      </c>
      <c r="B535" s="53" t="s">
        <v>1173</v>
      </c>
      <c r="C535" s="54" t="s">
        <v>84</v>
      </c>
      <c r="D535" s="53" t="s">
        <v>241</v>
      </c>
    </row>
    <row r="536" spans="1:4" ht="14.4">
      <c r="A536" s="53" t="s">
        <v>1174</v>
      </c>
      <c r="B536" s="53" t="s">
        <v>1175</v>
      </c>
      <c r="C536" s="54" t="s">
        <v>84</v>
      </c>
      <c r="D536" s="53" t="s">
        <v>241</v>
      </c>
    </row>
    <row r="537" spans="1:4" ht="14.4">
      <c r="A537" s="53" t="s">
        <v>1176</v>
      </c>
      <c r="B537" s="53" t="s">
        <v>1177</v>
      </c>
      <c r="C537" s="54" t="s">
        <v>84</v>
      </c>
      <c r="D537" s="53" t="s">
        <v>241</v>
      </c>
    </row>
    <row r="538" spans="1:4" ht="14.4">
      <c r="A538" s="53" t="s">
        <v>1178</v>
      </c>
      <c r="B538" s="53" t="s">
        <v>1179</v>
      </c>
      <c r="C538" s="54" t="s">
        <v>84</v>
      </c>
      <c r="D538" s="53" t="s">
        <v>268</v>
      </c>
    </row>
    <row r="539" spans="1:4" ht="14.4">
      <c r="A539" s="53" t="s">
        <v>1180</v>
      </c>
      <c r="B539" s="53" t="s">
        <v>1181</v>
      </c>
      <c r="C539" s="54" t="s">
        <v>84</v>
      </c>
      <c r="D539" s="53" t="s">
        <v>268</v>
      </c>
    </row>
    <row r="540" spans="1:4" ht="14.4">
      <c r="A540" s="53" t="s">
        <v>1182</v>
      </c>
      <c r="B540" s="53" t="s">
        <v>1183</v>
      </c>
      <c r="C540" s="54" t="s">
        <v>84</v>
      </c>
      <c r="D540" s="53" t="s">
        <v>268</v>
      </c>
    </row>
    <row r="541" spans="1:4" ht="14.4">
      <c r="A541" s="53" t="s">
        <v>1184</v>
      </c>
      <c r="B541" s="53" t="s">
        <v>1185</v>
      </c>
      <c r="C541" s="54" t="s">
        <v>85</v>
      </c>
      <c r="D541" s="53"/>
    </row>
    <row r="542" spans="1:4" ht="14.4">
      <c r="A542" s="53" t="s">
        <v>41</v>
      </c>
      <c r="B542" s="53" t="s">
        <v>1186</v>
      </c>
      <c r="C542" s="54" t="s">
        <v>90</v>
      </c>
      <c r="D542" s="53"/>
    </row>
    <row r="543" spans="1:4" ht="14.4">
      <c r="A543" s="53" t="s">
        <v>1187</v>
      </c>
      <c r="B543" s="53" t="s">
        <v>1188</v>
      </c>
      <c r="C543" s="54" t="s">
        <v>84</v>
      </c>
      <c r="D543" s="53" t="s">
        <v>268</v>
      </c>
    </row>
    <row r="544" spans="1:4" ht="14.4">
      <c r="A544" s="53" t="s">
        <v>1189</v>
      </c>
      <c r="B544" s="53" t="s">
        <v>1190</v>
      </c>
      <c r="C544" s="54" t="s">
        <v>84</v>
      </c>
      <c r="D544" s="53" t="s">
        <v>268</v>
      </c>
    </row>
    <row r="545" spans="1:4" ht="14.4">
      <c r="A545" s="53" t="s">
        <v>1191</v>
      </c>
      <c r="B545" s="53" t="s">
        <v>1192</v>
      </c>
      <c r="C545" s="54" t="s">
        <v>84</v>
      </c>
      <c r="D545" s="53" t="s">
        <v>268</v>
      </c>
    </row>
    <row r="546" spans="1:4" ht="14.4">
      <c r="A546" s="53" t="s">
        <v>1193</v>
      </c>
      <c r="B546" s="53" t="s">
        <v>1194</v>
      </c>
      <c r="C546" s="54" t="s">
        <v>84</v>
      </c>
      <c r="D546" s="53" t="s">
        <v>268</v>
      </c>
    </row>
    <row r="547" spans="1:4" ht="14.4">
      <c r="A547" s="53" t="s">
        <v>1195</v>
      </c>
      <c r="B547" s="53" t="s">
        <v>1196</v>
      </c>
      <c r="C547" s="54" t="s">
        <v>85</v>
      </c>
      <c r="D547" s="53"/>
    </row>
    <row r="548" spans="1:4" ht="14.4">
      <c r="A548" s="53" t="s">
        <v>1197</v>
      </c>
      <c r="B548" s="53" t="s">
        <v>1198</v>
      </c>
      <c r="C548" s="54" t="s">
        <v>84</v>
      </c>
      <c r="D548" s="53" t="s">
        <v>268</v>
      </c>
    </row>
    <row r="549" spans="1:4" ht="14.4">
      <c r="A549" s="53" t="s">
        <v>1199</v>
      </c>
      <c r="B549" s="53" t="s">
        <v>1200</v>
      </c>
      <c r="C549" s="54" t="s">
        <v>59</v>
      </c>
      <c r="D549" s="53"/>
    </row>
    <row r="550" spans="1:4" ht="14.4">
      <c r="A550" s="53" t="s">
        <v>1201</v>
      </c>
      <c r="B550" s="53" t="s">
        <v>1202</v>
      </c>
      <c r="C550" s="54" t="s">
        <v>84</v>
      </c>
      <c r="D550" s="53" t="s">
        <v>268</v>
      </c>
    </row>
    <row r="551" spans="1:4" ht="14.4">
      <c r="A551" s="53" t="s">
        <v>1203</v>
      </c>
      <c r="B551" s="53" t="s">
        <v>1204</v>
      </c>
      <c r="C551" s="54" t="s">
        <v>84</v>
      </c>
      <c r="D551" s="53" t="s">
        <v>241</v>
      </c>
    </row>
    <row r="552" spans="1:4" ht="14.4">
      <c r="A552" s="53" t="s">
        <v>1205</v>
      </c>
      <c r="B552" s="53" t="s">
        <v>1206</v>
      </c>
      <c r="C552" s="54" t="s">
        <v>89</v>
      </c>
      <c r="D552" s="53" t="s">
        <v>121</v>
      </c>
    </row>
    <row r="553" spans="1:4" ht="14.4">
      <c r="A553" s="53" t="s">
        <v>1207</v>
      </c>
      <c r="B553" s="53" t="s">
        <v>1208</v>
      </c>
      <c r="C553" s="54" t="s">
        <v>89</v>
      </c>
      <c r="D553" s="53" t="s">
        <v>121</v>
      </c>
    </row>
    <row r="554" spans="1:4" ht="14.4">
      <c r="A554" s="53" t="s">
        <v>1209</v>
      </c>
      <c r="B554" s="53" t="s">
        <v>1210</v>
      </c>
      <c r="C554" s="54" t="s">
        <v>89</v>
      </c>
      <c r="D554" s="53" t="s">
        <v>121</v>
      </c>
    </row>
    <row r="555" spans="1:4" ht="14.4">
      <c r="A555" s="53" t="s">
        <v>1211</v>
      </c>
      <c r="B555" s="53" t="s">
        <v>1212</v>
      </c>
      <c r="C555" s="54" t="s">
        <v>89</v>
      </c>
      <c r="D555" s="53" t="s">
        <v>121</v>
      </c>
    </row>
    <row r="556" spans="1:4" ht="14.4">
      <c r="A556" s="53" t="s">
        <v>1213</v>
      </c>
      <c r="B556" s="53" t="s">
        <v>1214</v>
      </c>
      <c r="C556" s="54" t="s">
        <v>89</v>
      </c>
      <c r="D556" s="53" t="s">
        <v>121</v>
      </c>
    </row>
    <row r="557" spans="1:4" ht="14.4">
      <c r="A557" s="53" t="s">
        <v>1215</v>
      </c>
      <c r="B557" s="53" t="s">
        <v>1216</v>
      </c>
      <c r="C557" s="54" t="s">
        <v>89</v>
      </c>
      <c r="D557" s="53" t="s">
        <v>631</v>
      </c>
    </row>
    <row r="558" spans="1:4" ht="14.4">
      <c r="A558" s="53" t="s">
        <v>1217</v>
      </c>
      <c r="B558" s="53" t="s">
        <v>1218</v>
      </c>
      <c r="C558" s="54" t="s">
        <v>85</v>
      </c>
      <c r="D558" s="53"/>
    </row>
    <row r="559" spans="1:4" ht="14.4">
      <c r="A559" s="53" t="s">
        <v>1219</v>
      </c>
      <c r="B559" s="53" t="s">
        <v>1220</v>
      </c>
      <c r="C559" s="54" t="s">
        <v>85</v>
      </c>
      <c r="D559" s="53"/>
    </row>
    <row r="560" spans="1:4" ht="14.4">
      <c r="A560" s="53" t="s">
        <v>1221</v>
      </c>
      <c r="B560" s="53" t="s">
        <v>1222</v>
      </c>
      <c r="C560" s="54" t="s">
        <v>85</v>
      </c>
      <c r="D560" s="53"/>
    </row>
    <row r="561" spans="1:4" ht="14.4">
      <c r="A561" s="53" t="s">
        <v>1223</v>
      </c>
      <c r="B561" s="53" t="s">
        <v>1224</v>
      </c>
      <c r="C561" s="54" t="s">
        <v>84</v>
      </c>
      <c r="D561" s="53" t="s">
        <v>241</v>
      </c>
    </row>
    <row r="562" spans="1:4" ht="14.4">
      <c r="A562" s="53" t="s">
        <v>1225</v>
      </c>
      <c r="B562" s="53" t="s">
        <v>1226</v>
      </c>
      <c r="C562" s="54" t="s">
        <v>85</v>
      </c>
      <c r="D562" s="53"/>
    </row>
    <row r="563" spans="1:4" ht="14.4">
      <c r="A563" s="53" t="s">
        <v>1227</v>
      </c>
      <c r="B563" s="53" t="s">
        <v>1228</v>
      </c>
      <c r="C563" s="54" t="s">
        <v>85</v>
      </c>
      <c r="D563" s="53"/>
    </row>
    <row r="564" spans="1:4" ht="14.4">
      <c r="A564" s="53" t="s">
        <v>1229</v>
      </c>
      <c r="B564" s="53" t="s">
        <v>1230</v>
      </c>
      <c r="C564" s="54" t="s">
        <v>84</v>
      </c>
      <c r="D564" s="53" t="s">
        <v>241</v>
      </c>
    </row>
    <row r="565" spans="1:4" ht="14.4">
      <c r="A565" s="53" t="s">
        <v>1231</v>
      </c>
      <c r="B565" s="53" t="s">
        <v>1232</v>
      </c>
      <c r="C565" s="54" t="s">
        <v>85</v>
      </c>
      <c r="D565" s="53"/>
    </row>
    <row r="566" spans="1:4" ht="14.4">
      <c r="A566" s="53" t="s">
        <v>1233</v>
      </c>
      <c r="B566" s="53" t="s">
        <v>1234</v>
      </c>
      <c r="C566" s="54" t="s">
        <v>89</v>
      </c>
      <c r="D566" s="53" t="s">
        <v>288</v>
      </c>
    </row>
    <row r="567" spans="1:4" ht="14.4">
      <c r="A567" s="53" t="s">
        <v>1235</v>
      </c>
      <c r="B567" s="53" t="s">
        <v>1236</v>
      </c>
      <c r="C567" s="54" t="s">
        <v>89</v>
      </c>
      <c r="D567" s="53" t="s">
        <v>288</v>
      </c>
    </row>
    <row r="568" spans="1:4" ht="14.4">
      <c r="A568" s="53" t="s">
        <v>1237</v>
      </c>
      <c r="B568" s="53" t="s">
        <v>1238</v>
      </c>
      <c r="C568" s="54" t="s">
        <v>89</v>
      </c>
      <c r="D568" s="53" t="s">
        <v>288</v>
      </c>
    </row>
    <row r="569" spans="1:4" ht="14.4">
      <c r="A569" s="53" t="s">
        <v>1239</v>
      </c>
      <c r="B569" s="53" t="s">
        <v>1240</v>
      </c>
      <c r="C569" s="54" t="s">
        <v>89</v>
      </c>
      <c r="D569" s="53" t="s">
        <v>288</v>
      </c>
    </row>
    <row r="570" spans="1:4" ht="14.4">
      <c r="A570" s="53" t="s">
        <v>1241</v>
      </c>
      <c r="B570" s="53" t="s">
        <v>1242</v>
      </c>
      <c r="C570" s="54" t="s">
        <v>85</v>
      </c>
      <c r="D570" s="53"/>
    </row>
    <row r="571" spans="1:4" ht="14.4">
      <c r="A571" s="53" t="s">
        <v>45</v>
      </c>
      <c r="B571" s="53" t="s">
        <v>1243</v>
      </c>
      <c r="C571" s="54" t="s">
        <v>84</v>
      </c>
      <c r="D571" s="53" t="s">
        <v>207</v>
      </c>
    </row>
    <row r="572" spans="1:4" ht="14.4">
      <c r="A572" s="53" t="s">
        <v>1244</v>
      </c>
      <c r="B572" s="53" t="s">
        <v>1245</v>
      </c>
      <c r="C572" s="54" t="s">
        <v>84</v>
      </c>
      <c r="D572" s="53" t="s">
        <v>207</v>
      </c>
    </row>
    <row r="573" spans="1:4" ht="14.4">
      <c r="A573" s="53" t="s">
        <v>1246</v>
      </c>
      <c r="B573" s="53" t="s">
        <v>1247</v>
      </c>
      <c r="C573" s="54" t="s">
        <v>84</v>
      </c>
      <c r="D573" s="53" t="s">
        <v>207</v>
      </c>
    </row>
    <row r="574" spans="1:4" ht="14.4">
      <c r="A574" s="53" t="s">
        <v>1248</v>
      </c>
      <c r="B574" s="53" t="s">
        <v>1249</v>
      </c>
      <c r="C574" s="54" t="s">
        <v>84</v>
      </c>
      <c r="D574" s="53" t="s">
        <v>207</v>
      </c>
    </row>
    <row r="575" spans="1:4" ht="14.4">
      <c r="A575" s="53" t="s">
        <v>1250</v>
      </c>
      <c r="B575" s="53" t="s">
        <v>1251</v>
      </c>
      <c r="C575" s="54" t="s">
        <v>84</v>
      </c>
      <c r="D575" s="53" t="s">
        <v>207</v>
      </c>
    </row>
    <row r="576" spans="1:4" ht="14.4">
      <c r="A576" s="53" t="s">
        <v>1252</v>
      </c>
      <c r="B576" s="53" t="s">
        <v>1253</v>
      </c>
      <c r="C576" s="54" t="s">
        <v>84</v>
      </c>
      <c r="D576" s="53" t="s">
        <v>207</v>
      </c>
    </row>
    <row r="577" spans="1:4" ht="14.4">
      <c r="A577" s="53" t="s">
        <v>1252</v>
      </c>
      <c r="B577" s="53" t="s">
        <v>1253</v>
      </c>
      <c r="C577" s="54" t="s">
        <v>84</v>
      </c>
      <c r="D577" s="53" t="s">
        <v>207</v>
      </c>
    </row>
    <row r="578" spans="1:4" ht="14.4">
      <c r="A578" s="53" t="s">
        <v>1254</v>
      </c>
      <c r="B578" s="53" t="s">
        <v>1255</v>
      </c>
      <c r="C578" s="54" t="s">
        <v>84</v>
      </c>
      <c r="D578" s="53" t="s">
        <v>207</v>
      </c>
    </row>
    <row r="579" spans="1:4" ht="14.4">
      <c r="A579" s="53" t="s">
        <v>1256</v>
      </c>
      <c r="B579" s="53" t="s">
        <v>1257</v>
      </c>
      <c r="C579" s="54" t="s">
        <v>84</v>
      </c>
      <c r="D579" s="53" t="s">
        <v>207</v>
      </c>
    </row>
    <row r="580" spans="1:4" ht="14.4">
      <c r="A580" s="53" t="s">
        <v>1258</v>
      </c>
      <c r="B580" s="53" t="s">
        <v>1259</v>
      </c>
      <c r="C580" s="54" t="s">
        <v>89</v>
      </c>
      <c r="D580" s="53" t="s">
        <v>3093</v>
      </c>
    </row>
    <row r="581" spans="1:4" ht="14.4">
      <c r="A581" s="53" t="s">
        <v>1260</v>
      </c>
      <c r="B581" s="53" t="s">
        <v>1261</v>
      </c>
      <c r="C581" s="54" t="s">
        <v>84</v>
      </c>
      <c r="D581" s="53" t="s">
        <v>207</v>
      </c>
    </row>
    <row r="582" spans="1:4" ht="14.4">
      <c r="A582" s="53" t="s">
        <v>1262</v>
      </c>
      <c r="B582" s="53" t="s">
        <v>1263</v>
      </c>
      <c r="C582" s="54" t="s">
        <v>84</v>
      </c>
      <c r="D582" s="53" t="s">
        <v>207</v>
      </c>
    </row>
    <row r="583" spans="1:4" ht="14.4">
      <c r="A583" s="53" t="s">
        <v>1264</v>
      </c>
      <c r="B583" s="53" t="s">
        <v>1265</v>
      </c>
      <c r="C583" s="54" t="s">
        <v>88</v>
      </c>
      <c r="D583" s="53"/>
    </row>
    <row r="584" spans="1:4" ht="14.4">
      <c r="A584" s="53" t="s">
        <v>1266</v>
      </c>
      <c r="B584" s="53" t="s">
        <v>1267</v>
      </c>
      <c r="C584" s="54" t="s">
        <v>84</v>
      </c>
      <c r="D584" s="53" t="s">
        <v>207</v>
      </c>
    </row>
    <row r="585" spans="1:4" ht="14.4">
      <c r="A585" s="53" t="s">
        <v>1268</v>
      </c>
      <c r="B585" s="53" t="s">
        <v>1269</v>
      </c>
      <c r="C585" s="54" t="s">
        <v>84</v>
      </c>
      <c r="D585" s="53" t="s">
        <v>207</v>
      </c>
    </row>
    <row r="586" spans="1:4" ht="14.4">
      <c r="A586" s="53" t="s">
        <v>1270</v>
      </c>
      <c r="B586" s="53" t="s">
        <v>1271</v>
      </c>
      <c r="C586" s="54" t="s">
        <v>84</v>
      </c>
      <c r="D586" s="53" t="s">
        <v>207</v>
      </c>
    </row>
    <row r="587" spans="1:4" ht="14.4">
      <c r="A587" s="53" t="s">
        <v>1272</v>
      </c>
      <c r="B587" s="53" t="s">
        <v>1273</v>
      </c>
      <c r="C587" s="54" t="s">
        <v>84</v>
      </c>
      <c r="D587" s="53" t="s">
        <v>207</v>
      </c>
    </row>
    <row r="588" spans="1:4" ht="14.4">
      <c r="A588" s="53" t="s">
        <v>1274</v>
      </c>
      <c r="B588" s="53" t="s">
        <v>1275</v>
      </c>
      <c r="C588" s="54" t="s">
        <v>84</v>
      </c>
      <c r="D588" s="53" t="s">
        <v>207</v>
      </c>
    </row>
    <row r="589" spans="1:4" ht="14.4">
      <c r="A589" s="53" t="s">
        <v>1276</v>
      </c>
      <c r="B589" s="53" t="s">
        <v>1277</v>
      </c>
      <c r="C589" s="54" t="s">
        <v>84</v>
      </c>
      <c r="D589" s="53" t="s">
        <v>207</v>
      </c>
    </row>
    <row r="590" spans="1:4" ht="14.4">
      <c r="A590" s="53" t="s">
        <v>1278</v>
      </c>
      <c r="B590" s="53" t="s">
        <v>1279</v>
      </c>
      <c r="C590" s="54" t="s">
        <v>84</v>
      </c>
      <c r="D590" s="53" t="s">
        <v>207</v>
      </c>
    </row>
    <row r="591" spans="1:4" ht="14.4">
      <c r="A591" s="53" t="s">
        <v>1280</v>
      </c>
      <c r="B591" s="53" t="s">
        <v>1281</v>
      </c>
      <c r="C591" s="54" t="s">
        <v>84</v>
      </c>
      <c r="D591" s="53" t="s">
        <v>207</v>
      </c>
    </row>
    <row r="592" spans="1:4" ht="14.4">
      <c r="A592" s="53" t="s">
        <v>1282</v>
      </c>
      <c r="B592" s="53" t="s">
        <v>1283</v>
      </c>
      <c r="C592" s="54" t="s">
        <v>84</v>
      </c>
      <c r="D592" s="53" t="s">
        <v>207</v>
      </c>
    </row>
    <row r="593" spans="1:4" ht="14.4">
      <c r="A593" s="53" t="s">
        <v>1284</v>
      </c>
      <c r="B593" s="53" t="s">
        <v>1285</v>
      </c>
      <c r="C593" s="54" t="s">
        <v>84</v>
      </c>
      <c r="D593" s="53" t="s">
        <v>207</v>
      </c>
    </row>
    <row r="594" spans="1:4" ht="14.4">
      <c r="A594" s="53" t="s">
        <v>1286</v>
      </c>
      <c r="B594" s="53" t="s">
        <v>1287</v>
      </c>
      <c r="C594" s="54" t="s">
        <v>84</v>
      </c>
      <c r="D594" s="53" t="s">
        <v>207</v>
      </c>
    </row>
    <row r="595" spans="1:4" ht="14.4">
      <c r="A595" s="53" t="s">
        <v>1288</v>
      </c>
      <c r="B595" s="53" t="s">
        <v>1289</v>
      </c>
      <c r="C595" s="54" t="s">
        <v>84</v>
      </c>
      <c r="D595" s="53" t="s">
        <v>207</v>
      </c>
    </row>
    <row r="596" spans="1:4" ht="14.4">
      <c r="A596" s="53" t="s">
        <v>1290</v>
      </c>
      <c r="B596" s="53" t="s">
        <v>1291</v>
      </c>
      <c r="C596" s="54" t="s">
        <v>89</v>
      </c>
      <c r="D596" s="53" t="s">
        <v>3093</v>
      </c>
    </row>
    <row r="597" spans="1:4" ht="14.4">
      <c r="A597" s="53" t="s">
        <v>1292</v>
      </c>
      <c r="B597" s="53" t="s">
        <v>1293</v>
      </c>
      <c r="C597" s="54" t="s">
        <v>84</v>
      </c>
      <c r="D597" s="53" t="s">
        <v>207</v>
      </c>
    </row>
    <row r="598" spans="1:4" ht="14.4">
      <c r="A598" s="53" t="s">
        <v>1294</v>
      </c>
      <c r="B598" s="53" t="s">
        <v>1295</v>
      </c>
      <c r="C598" s="54" t="s">
        <v>84</v>
      </c>
      <c r="D598" s="53" t="s">
        <v>207</v>
      </c>
    </row>
    <row r="599" spans="1:4" ht="14.4">
      <c r="A599" s="53" t="s">
        <v>1296</v>
      </c>
      <c r="B599" s="53" t="s">
        <v>1297</v>
      </c>
      <c r="C599" s="54" t="s">
        <v>84</v>
      </c>
      <c r="D599" s="53" t="s">
        <v>207</v>
      </c>
    </row>
    <row r="600" spans="1:4" ht="14.4">
      <c r="A600" s="53" t="s">
        <v>1298</v>
      </c>
      <c r="B600" s="53" t="s">
        <v>1299</v>
      </c>
      <c r="C600" s="54" t="s">
        <v>84</v>
      </c>
      <c r="D600" s="53" t="s">
        <v>207</v>
      </c>
    </row>
    <row r="601" spans="1:4" ht="14.4">
      <c r="A601" s="53" t="s">
        <v>1300</v>
      </c>
      <c r="B601" s="53" t="s">
        <v>1301</v>
      </c>
      <c r="C601" s="54" t="s">
        <v>84</v>
      </c>
      <c r="D601" s="53" t="s">
        <v>207</v>
      </c>
    </row>
    <row r="602" spans="1:4" ht="14.4">
      <c r="A602" s="53" t="s">
        <v>1302</v>
      </c>
      <c r="B602" s="53" t="s">
        <v>1303</v>
      </c>
      <c r="C602" s="54" t="s">
        <v>84</v>
      </c>
      <c r="D602" s="53" t="s">
        <v>207</v>
      </c>
    </row>
    <row r="603" spans="1:4" ht="14.4">
      <c r="A603" s="53" t="s">
        <v>1304</v>
      </c>
      <c r="B603" s="53" t="s">
        <v>1305</v>
      </c>
      <c r="C603" s="54" t="s">
        <v>84</v>
      </c>
      <c r="D603" s="53" t="s">
        <v>207</v>
      </c>
    </row>
    <row r="604" spans="1:4" ht="14.4">
      <c r="A604" s="53" t="s">
        <v>1306</v>
      </c>
      <c r="B604" s="53" t="s">
        <v>1307</v>
      </c>
      <c r="C604" s="54" t="s">
        <v>84</v>
      </c>
      <c r="D604" s="53" t="s">
        <v>207</v>
      </c>
    </row>
    <row r="605" spans="1:4" ht="14.4">
      <c r="A605" s="53" t="s">
        <v>1308</v>
      </c>
      <c r="B605" s="53" t="s">
        <v>1309</v>
      </c>
      <c r="C605" s="54" t="s">
        <v>84</v>
      </c>
      <c r="D605" s="53" t="s">
        <v>207</v>
      </c>
    </row>
    <row r="606" spans="1:4" ht="14.4">
      <c r="A606" s="53" t="s">
        <v>1310</v>
      </c>
      <c r="B606" s="53" t="s">
        <v>1311</v>
      </c>
      <c r="C606" s="54" t="s">
        <v>84</v>
      </c>
      <c r="D606" s="53" t="s">
        <v>207</v>
      </c>
    </row>
    <row r="607" spans="1:4" ht="14.4">
      <c r="A607" s="53" t="s">
        <v>1312</v>
      </c>
      <c r="B607" s="53" t="s">
        <v>1313</v>
      </c>
      <c r="C607" s="54" t="s">
        <v>84</v>
      </c>
      <c r="D607" s="53" t="s">
        <v>207</v>
      </c>
    </row>
    <row r="608" spans="1:4" ht="14.4">
      <c r="A608" s="53" t="s">
        <v>1314</v>
      </c>
      <c r="B608" s="53" t="s">
        <v>1315</v>
      </c>
      <c r="C608" s="54" t="s">
        <v>84</v>
      </c>
      <c r="D608" s="53" t="s">
        <v>207</v>
      </c>
    </row>
    <row r="609" spans="1:4" ht="14.4">
      <c r="A609" s="53" t="s">
        <v>1316</v>
      </c>
      <c r="B609" s="53" t="s">
        <v>1317</v>
      </c>
      <c r="C609" s="54" t="s">
        <v>84</v>
      </c>
      <c r="D609" s="53" t="s">
        <v>207</v>
      </c>
    </row>
    <row r="610" spans="1:4" ht="14.4">
      <c r="A610" s="53" t="s">
        <v>1318</v>
      </c>
      <c r="B610" s="53" t="s">
        <v>1319</v>
      </c>
      <c r="C610" s="54" t="s">
        <v>84</v>
      </c>
      <c r="D610" s="53" t="s">
        <v>207</v>
      </c>
    </row>
    <row r="611" spans="1:4" ht="14.4">
      <c r="A611" s="53" t="s">
        <v>1320</v>
      </c>
      <c r="B611" s="53" t="s">
        <v>1321</v>
      </c>
      <c r="C611" s="54" t="s">
        <v>84</v>
      </c>
      <c r="D611" s="53" t="s">
        <v>207</v>
      </c>
    </row>
    <row r="612" spans="1:4" ht="14.4">
      <c r="A612" s="53" t="s">
        <v>1322</v>
      </c>
      <c r="B612" s="53" t="s">
        <v>1323</v>
      </c>
      <c r="C612" s="54" t="s">
        <v>88</v>
      </c>
      <c r="D612" s="53"/>
    </row>
    <row r="613" spans="1:4" ht="14.4">
      <c r="A613" s="53" t="s">
        <v>34</v>
      </c>
      <c r="B613" s="53" t="s">
        <v>1324</v>
      </c>
      <c r="C613" s="54" t="s">
        <v>84</v>
      </c>
      <c r="D613" s="53" t="s">
        <v>207</v>
      </c>
    </row>
    <row r="614" spans="1:4" ht="14.4">
      <c r="A614" s="53" t="s">
        <v>1325</v>
      </c>
      <c r="B614" s="53" t="s">
        <v>1326</v>
      </c>
      <c r="C614" s="54" t="s">
        <v>84</v>
      </c>
      <c r="D614" s="53" t="s">
        <v>207</v>
      </c>
    </row>
    <row r="615" spans="1:4" ht="14.4">
      <c r="A615" s="53" t="s">
        <v>1327</v>
      </c>
      <c r="B615" s="53" t="s">
        <v>1328</v>
      </c>
      <c r="C615" s="54" t="s">
        <v>84</v>
      </c>
      <c r="D615" s="53" t="s">
        <v>207</v>
      </c>
    </row>
    <row r="616" spans="1:4" ht="14.4">
      <c r="A616" s="53" t="s">
        <v>1329</v>
      </c>
      <c r="B616" s="53" t="s">
        <v>1330</v>
      </c>
      <c r="C616" s="54" t="s">
        <v>84</v>
      </c>
      <c r="D616" s="53" t="s">
        <v>207</v>
      </c>
    </row>
    <row r="617" spans="1:4" ht="14.4">
      <c r="A617" s="53" t="s">
        <v>1331</v>
      </c>
      <c r="B617" s="53" t="s">
        <v>1332</v>
      </c>
      <c r="C617" s="54" t="s">
        <v>59</v>
      </c>
      <c r="D617" s="53"/>
    </row>
    <row r="618" spans="1:4" ht="14.4">
      <c r="A618" s="53" t="s">
        <v>1333</v>
      </c>
      <c r="B618" s="53" t="s">
        <v>1334</v>
      </c>
      <c r="C618" s="54" t="s">
        <v>84</v>
      </c>
      <c r="D618" s="53" t="s">
        <v>241</v>
      </c>
    </row>
    <row r="619" spans="1:4" ht="14.4">
      <c r="A619" s="53" t="s">
        <v>1335</v>
      </c>
      <c r="B619" s="53" t="s">
        <v>1336</v>
      </c>
      <c r="C619" s="54" t="s">
        <v>84</v>
      </c>
      <c r="D619" s="53" t="s">
        <v>241</v>
      </c>
    </row>
    <row r="620" spans="1:4" ht="14.4">
      <c r="A620" s="53" t="s">
        <v>1337</v>
      </c>
      <c r="B620" s="53" t="s">
        <v>1338</v>
      </c>
      <c r="C620" s="54" t="s">
        <v>84</v>
      </c>
      <c r="D620" s="53" t="s">
        <v>241</v>
      </c>
    </row>
    <row r="621" spans="1:4" ht="14.4">
      <c r="A621" s="53" t="s">
        <v>1339</v>
      </c>
      <c r="B621" s="53" t="s">
        <v>1340</v>
      </c>
      <c r="C621" s="54" t="s">
        <v>84</v>
      </c>
      <c r="D621" s="53" t="s">
        <v>241</v>
      </c>
    </row>
    <row r="622" spans="1:4" ht="14.4">
      <c r="A622" s="53" t="s">
        <v>1341</v>
      </c>
      <c r="B622" s="53" t="s">
        <v>1342</v>
      </c>
      <c r="C622" s="54" t="s">
        <v>84</v>
      </c>
      <c r="D622" s="53" t="s">
        <v>268</v>
      </c>
    </row>
    <row r="623" spans="1:4" ht="14.4">
      <c r="A623" s="53" t="s">
        <v>1343</v>
      </c>
      <c r="B623" s="53" t="s">
        <v>1344</v>
      </c>
      <c r="C623" s="54" t="s">
        <v>84</v>
      </c>
      <c r="D623" s="53" t="s">
        <v>268</v>
      </c>
    </row>
    <row r="624" spans="1:4" ht="14.4">
      <c r="A624" s="53" t="s">
        <v>1345</v>
      </c>
      <c r="B624" s="53" t="s">
        <v>1346</v>
      </c>
      <c r="C624" s="54" t="s">
        <v>84</v>
      </c>
      <c r="D624" s="53" t="s">
        <v>241</v>
      </c>
    </row>
    <row r="625" spans="1:4" ht="14.4">
      <c r="A625" s="53" t="s">
        <v>1347</v>
      </c>
      <c r="B625" s="53" t="s">
        <v>1348</v>
      </c>
      <c r="C625" s="54" t="s">
        <v>84</v>
      </c>
      <c r="D625" s="53" t="s">
        <v>241</v>
      </c>
    </row>
    <row r="626" spans="1:4" ht="14.4">
      <c r="A626" s="53" t="s">
        <v>1349</v>
      </c>
      <c r="B626" s="53" t="s">
        <v>1350</v>
      </c>
      <c r="C626" s="54" t="s">
        <v>85</v>
      </c>
      <c r="D626" s="53"/>
    </row>
    <row r="627" spans="1:4" ht="14.4">
      <c r="A627" s="53" t="s">
        <v>1351</v>
      </c>
      <c r="B627" s="53" t="s">
        <v>1352</v>
      </c>
      <c r="C627" s="54" t="s">
        <v>89</v>
      </c>
      <c r="D627" s="53" t="s">
        <v>387</v>
      </c>
    </row>
    <row r="628" spans="1:4" ht="14.4">
      <c r="A628" s="53" t="s">
        <v>1353</v>
      </c>
      <c r="B628" s="53" t="s">
        <v>1354</v>
      </c>
      <c r="C628" s="54" t="s">
        <v>89</v>
      </c>
      <c r="D628" s="53" t="s">
        <v>130</v>
      </c>
    </row>
    <row r="629" spans="1:4" ht="14.4">
      <c r="A629" s="53" t="s">
        <v>1355</v>
      </c>
      <c r="B629" s="53" t="s">
        <v>1356</v>
      </c>
      <c r="C629" s="54" t="s">
        <v>89</v>
      </c>
      <c r="D629" s="53" t="s">
        <v>130</v>
      </c>
    </row>
    <row r="630" spans="1:4" ht="14.4">
      <c r="A630" s="53" t="s">
        <v>1357</v>
      </c>
      <c r="B630" s="53" t="s">
        <v>1358</v>
      </c>
      <c r="C630" s="54" t="s">
        <v>89</v>
      </c>
      <c r="D630" s="53" t="s">
        <v>288</v>
      </c>
    </row>
    <row r="631" spans="1:4" ht="14.4">
      <c r="A631" s="53" t="s">
        <v>1359</v>
      </c>
      <c r="B631" s="53" t="s">
        <v>1360</v>
      </c>
      <c r="C631" s="54" t="s">
        <v>87</v>
      </c>
      <c r="D631" s="53" t="s">
        <v>256</v>
      </c>
    </row>
    <row r="632" spans="1:4" ht="14.4">
      <c r="A632" s="53" t="s">
        <v>1361</v>
      </c>
      <c r="B632" s="53" t="s">
        <v>1362</v>
      </c>
      <c r="C632" s="54" t="s">
        <v>87</v>
      </c>
      <c r="D632" s="53" t="s">
        <v>256</v>
      </c>
    </row>
    <row r="633" spans="1:4" ht="14.4">
      <c r="A633" s="53" t="s">
        <v>1363</v>
      </c>
      <c r="B633" s="53" t="s">
        <v>1364</v>
      </c>
      <c r="C633" s="54" t="s">
        <v>87</v>
      </c>
      <c r="D633" s="53" t="s">
        <v>256</v>
      </c>
    </row>
    <row r="634" spans="1:4" ht="14.4">
      <c r="A634" s="53" t="s">
        <v>1365</v>
      </c>
      <c r="B634" s="53" t="s">
        <v>1366</v>
      </c>
      <c r="C634" s="54" t="s">
        <v>85</v>
      </c>
      <c r="D634" s="53"/>
    </row>
    <row r="635" spans="1:4" ht="14.4">
      <c r="A635" s="53" t="s">
        <v>1367</v>
      </c>
      <c r="B635" s="53" t="s">
        <v>1368</v>
      </c>
      <c r="C635" s="54" t="s">
        <v>90</v>
      </c>
      <c r="D635" s="53"/>
    </row>
    <row r="636" spans="1:4" ht="14.4">
      <c r="A636" s="53" t="s">
        <v>1369</v>
      </c>
      <c r="B636" s="53" t="s">
        <v>1370</v>
      </c>
      <c r="C636" s="54" t="s">
        <v>90</v>
      </c>
      <c r="D636" s="53"/>
    </row>
    <row r="637" spans="1:4" ht="14.4">
      <c r="A637" s="53" t="s">
        <v>1371</v>
      </c>
      <c r="B637" s="53" t="s">
        <v>1372</v>
      </c>
      <c r="C637" s="54" t="s">
        <v>90</v>
      </c>
      <c r="D637" s="53"/>
    </row>
    <row r="638" spans="1:4" ht="14.4">
      <c r="A638" s="53" t="s">
        <v>1373</v>
      </c>
      <c r="B638" s="53" t="s">
        <v>1374</v>
      </c>
      <c r="C638" s="54" t="s">
        <v>90</v>
      </c>
      <c r="D638" s="53"/>
    </row>
    <row r="639" spans="1:4" ht="14.4">
      <c r="A639" s="53" t="s">
        <v>1375</v>
      </c>
      <c r="B639" s="53" t="s">
        <v>1376</v>
      </c>
      <c r="C639" s="54" t="s">
        <v>88</v>
      </c>
      <c r="D639" s="53"/>
    </row>
    <row r="640" spans="1:4" ht="14.4">
      <c r="A640" s="53" t="s">
        <v>1377</v>
      </c>
      <c r="B640" s="53" t="s">
        <v>1378</v>
      </c>
      <c r="C640" s="54" t="s">
        <v>87</v>
      </c>
      <c r="D640" s="53" t="s">
        <v>256</v>
      </c>
    </row>
    <row r="641" spans="1:4" ht="14.4">
      <c r="A641" s="53" t="s">
        <v>1379</v>
      </c>
      <c r="B641" s="53" t="s">
        <v>1380</v>
      </c>
      <c r="C641" s="54" t="s">
        <v>87</v>
      </c>
      <c r="D641" s="53" t="s">
        <v>1381</v>
      </c>
    </row>
    <row r="642" spans="1:4" ht="14.4">
      <c r="A642" s="53" t="s">
        <v>1382</v>
      </c>
      <c r="B642" s="53" t="s">
        <v>1383</v>
      </c>
      <c r="C642" s="54" t="s">
        <v>88</v>
      </c>
      <c r="D642" s="53"/>
    </row>
    <row r="643" spans="1:4" ht="14.4">
      <c r="A643" s="53" t="s">
        <v>1384</v>
      </c>
      <c r="B643" s="53" t="s">
        <v>1385</v>
      </c>
      <c r="C643" s="54" t="s">
        <v>85</v>
      </c>
      <c r="D643" s="53"/>
    </row>
    <row r="644" spans="1:4" ht="14.4">
      <c r="A644" s="53" t="s">
        <v>1386</v>
      </c>
      <c r="B644" s="53" t="s">
        <v>1387</v>
      </c>
      <c r="C644" s="54" t="s">
        <v>84</v>
      </c>
      <c r="D644" s="53" t="s">
        <v>694</v>
      </c>
    </row>
    <row r="645" spans="1:4" ht="14.4">
      <c r="A645" s="53" t="s">
        <v>1388</v>
      </c>
      <c r="B645" s="53" t="s">
        <v>1389</v>
      </c>
      <c r="C645" s="54" t="s">
        <v>85</v>
      </c>
      <c r="D645" s="53"/>
    </row>
    <row r="646" spans="1:4" ht="14.4">
      <c r="A646" s="53" t="s">
        <v>1390</v>
      </c>
      <c r="B646" s="53" t="s">
        <v>1391</v>
      </c>
      <c r="C646" s="54" t="s">
        <v>85</v>
      </c>
      <c r="D646" s="53"/>
    </row>
    <row r="647" spans="1:4" ht="14.4">
      <c r="A647" s="53" t="s">
        <v>1392</v>
      </c>
      <c r="B647" s="53" t="s">
        <v>1393</v>
      </c>
      <c r="C647" s="54" t="s">
        <v>85</v>
      </c>
      <c r="D647" s="53"/>
    </row>
    <row r="648" spans="1:4" ht="14.4">
      <c r="A648" s="53" t="s">
        <v>1394</v>
      </c>
      <c r="B648" s="53" t="s">
        <v>1395</v>
      </c>
      <c r="C648" s="54" t="s">
        <v>85</v>
      </c>
      <c r="D648" s="53"/>
    </row>
    <row r="649" spans="1:4" ht="14.4">
      <c r="A649" s="53" t="s">
        <v>1396</v>
      </c>
      <c r="B649" s="53" t="s">
        <v>1397</v>
      </c>
      <c r="C649" s="54" t="s">
        <v>89</v>
      </c>
      <c r="D649" s="53" t="s">
        <v>288</v>
      </c>
    </row>
    <row r="650" spans="1:4" ht="14.4">
      <c r="A650" s="53" t="s">
        <v>1398</v>
      </c>
      <c r="B650" s="53" t="s">
        <v>1399</v>
      </c>
      <c r="C650" s="54" t="s">
        <v>89</v>
      </c>
      <c r="D650" s="53" t="s">
        <v>288</v>
      </c>
    </row>
    <row r="651" spans="1:4" ht="14.4">
      <c r="A651" s="53" t="s">
        <v>1400</v>
      </c>
      <c r="B651" s="53" t="s">
        <v>1401</v>
      </c>
      <c r="C651" s="54" t="s">
        <v>89</v>
      </c>
      <c r="D651" s="53" t="s">
        <v>288</v>
      </c>
    </row>
    <row r="652" spans="1:4" ht="14.4">
      <c r="A652" s="53" t="s">
        <v>1402</v>
      </c>
      <c r="B652" s="53" t="s">
        <v>1403</v>
      </c>
      <c r="C652" s="54" t="s">
        <v>89</v>
      </c>
      <c r="D652" s="53" t="s">
        <v>288</v>
      </c>
    </row>
    <row r="653" spans="1:4" ht="14.4">
      <c r="A653" s="53" t="s">
        <v>1404</v>
      </c>
      <c r="B653" s="53" t="s">
        <v>1405</v>
      </c>
      <c r="C653" s="54" t="s">
        <v>89</v>
      </c>
      <c r="D653" s="53" t="s">
        <v>288</v>
      </c>
    </row>
    <row r="654" spans="1:4" ht="14.4">
      <c r="A654" s="53" t="s">
        <v>1406</v>
      </c>
      <c r="B654" s="53" t="s">
        <v>1407</v>
      </c>
      <c r="C654" s="54" t="s">
        <v>89</v>
      </c>
      <c r="D654" s="53" t="s">
        <v>288</v>
      </c>
    </row>
    <row r="655" spans="1:4" ht="14.4">
      <c r="A655" s="53" t="s">
        <v>1408</v>
      </c>
      <c r="B655" s="53" t="s">
        <v>1409</v>
      </c>
      <c r="C655" s="54" t="s">
        <v>85</v>
      </c>
      <c r="D655" s="53"/>
    </row>
    <row r="656" spans="1:4" ht="14.4">
      <c r="A656" s="53" t="s">
        <v>1410</v>
      </c>
      <c r="B656" s="53" t="s">
        <v>1411</v>
      </c>
      <c r="C656" s="54" t="s">
        <v>89</v>
      </c>
      <c r="D656" s="53" t="s">
        <v>288</v>
      </c>
    </row>
    <row r="657" spans="1:9" ht="14.4">
      <c r="A657" s="53" t="s">
        <v>3095</v>
      </c>
      <c r="B657" s="53" t="s">
        <v>3096</v>
      </c>
      <c r="C657" s="54" t="s">
        <v>85</v>
      </c>
      <c r="D657" s="53"/>
    </row>
    <row r="658" spans="1:9" ht="14.4">
      <c r="A658" s="53" t="s">
        <v>3094</v>
      </c>
      <c r="B658" s="53" t="s">
        <v>3097</v>
      </c>
      <c r="C658" s="54" t="s">
        <v>89</v>
      </c>
      <c r="D658" s="53"/>
    </row>
    <row r="659" spans="1:9" ht="14.4">
      <c r="A659" s="53" t="s">
        <v>1412</v>
      </c>
      <c r="B659" s="53" t="s">
        <v>1413</v>
      </c>
      <c r="C659" s="54" t="s">
        <v>85</v>
      </c>
      <c r="D659" s="53"/>
    </row>
    <row r="660" spans="1:9" ht="14.4">
      <c r="A660" s="53" t="s">
        <v>1414</v>
      </c>
      <c r="B660" s="53" t="s">
        <v>1415</v>
      </c>
      <c r="C660" s="54" t="s">
        <v>85</v>
      </c>
      <c r="D660" s="53"/>
    </row>
    <row r="661" spans="1:9" ht="14.4">
      <c r="A661" s="53" t="s">
        <v>1417</v>
      </c>
      <c r="B661" s="53" t="s">
        <v>1418</v>
      </c>
      <c r="C661" s="54" t="s">
        <v>85</v>
      </c>
      <c r="D661" s="53"/>
    </row>
    <row r="662" spans="1:9" ht="14.4">
      <c r="A662" s="53" t="s">
        <v>1419</v>
      </c>
      <c r="B662" s="53" t="s">
        <v>1420</v>
      </c>
      <c r="C662" s="54" t="s">
        <v>85</v>
      </c>
      <c r="D662" s="53"/>
    </row>
    <row r="663" spans="1:9" ht="14.4">
      <c r="A663" s="53" t="s">
        <v>1421</v>
      </c>
      <c r="B663" s="53" t="s">
        <v>1422</v>
      </c>
      <c r="C663" s="54" t="s">
        <v>85</v>
      </c>
      <c r="D663" s="53"/>
      <c r="I663" s="2" t="s">
        <v>1416</v>
      </c>
    </row>
    <row r="664" spans="1:9" ht="14.4">
      <c r="A664" s="53" t="s">
        <v>1423</v>
      </c>
      <c r="B664" s="53" t="s">
        <v>1424</v>
      </c>
      <c r="C664" s="54" t="s">
        <v>89</v>
      </c>
      <c r="D664" s="53" t="s">
        <v>631</v>
      </c>
    </row>
    <row r="665" spans="1:9" ht="14.4">
      <c r="A665" s="53" t="s">
        <v>1425</v>
      </c>
      <c r="B665" s="53" t="s">
        <v>1426</v>
      </c>
      <c r="C665" s="54" t="s">
        <v>87</v>
      </c>
      <c r="D665" s="53" t="s">
        <v>256</v>
      </c>
    </row>
    <row r="666" spans="1:9" ht="14.4">
      <c r="A666" s="53" t="s">
        <v>1427</v>
      </c>
      <c r="B666" s="53" t="s">
        <v>1428</v>
      </c>
      <c r="C666" s="54" t="s">
        <v>89</v>
      </c>
      <c r="D666" s="53" t="s">
        <v>387</v>
      </c>
    </row>
    <row r="667" spans="1:9" ht="14.4">
      <c r="A667" s="53" t="s">
        <v>3098</v>
      </c>
      <c r="B667" s="53" t="s">
        <v>3099</v>
      </c>
      <c r="C667" s="54" t="s">
        <v>88</v>
      </c>
      <c r="D667" s="53"/>
    </row>
    <row r="668" spans="1:9" ht="14.4">
      <c r="A668" s="53" t="s">
        <v>1429</v>
      </c>
      <c r="B668" s="53" t="s">
        <v>1430</v>
      </c>
      <c r="C668" s="54" t="s">
        <v>88</v>
      </c>
      <c r="D668" s="53"/>
    </row>
    <row r="669" spans="1:9" ht="14.4">
      <c r="A669" s="53" t="s">
        <v>1431</v>
      </c>
      <c r="B669" s="53" t="s">
        <v>1432</v>
      </c>
      <c r="C669" s="54" t="s">
        <v>89</v>
      </c>
      <c r="D669" s="53" t="s">
        <v>631</v>
      </c>
    </row>
    <row r="670" spans="1:9" ht="14.4">
      <c r="A670" s="53" t="s">
        <v>40</v>
      </c>
      <c r="B670" s="53" t="s">
        <v>1433</v>
      </c>
      <c r="C670" s="54" t="s">
        <v>89</v>
      </c>
      <c r="D670" s="53" t="s">
        <v>631</v>
      </c>
    </row>
    <row r="671" spans="1:9" ht="14.4">
      <c r="A671" s="53" t="s">
        <v>1434</v>
      </c>
      <c r="B671" s="53" t="s">
        <v>1435</v>
      </c>
      <c r="C671" s="54" t="s">
        <v>87</v>
      </c>
      <c r="D671" s="53" t="s">
        <v>318</v>
      </c>
    </row>
    <row r="672" spans="1:9" ht="14.4">
      <c r="A672" s="53" t="s">
        <v>1436</v>
      </c>
      <c r="B672" s="53" t="s">
        <v>1437</v>
      </c>
      <c r="C672" s="54" t="s">
        <v>87</v>
      </c>
      <c r="D672" s="53" t="s">
        <v>318</v>
      </c>
    </row>
    <row r="673" spans="1:4" ht="14.4">
      <c r="A673" s="53" t="s">
        <v>1438</v>
      </c>
      <c r="B673" s="53" t="s">
        <v>1439</v>
      </c>
      <c r="C673" s="54" t="s">
        <v>85</v>
      </c>
      <c r="D673" s="53"/>
    </row>
    <row r="674" spans="1:4" ht="14.4">
      <c r="A674" s="53" t="s">
        <v>1440</v>
      </c>
      <c r="B674" s="53" t="s">
        <v>1441</v>
      </c>
      <c r="C674" s="54" t="s">
        <v>87</v>
      </c>
      <c r="D674" s="53" t="s">
        <v>318</v>
      </c>
    </row>
    <row r="675" spans="1:4" ht="14.4">
      <c r="A675" s="53" t="s">
        <v>1442</v>
      </c>
      <c r="B675" s="53" t="s">
        <v>1443</v>
      </c>
      <c r="C675" s="54" t="s">
        <v>87</v>
      </c>
      <c r="D675" s="53" t="s">
        <v>318</v>
      </c>
    </row>
    <row r="676" spans="1:4" ht="14.4">
      <c r="A676" s="53" t="s">
        <v>1444</v>
      </c>
      <c r="B676" s="53" t="s">
        <v>1445</v>
      </c>
      <c r="C676" s="54" t="s">
        <v>87</v>
      </c>
      <c r="D676" s="53" t="s">
        <v>318</v>
      </c>
    </row>
    <row r="677" spans="1:4" ht="14.4">
      <c r="A677" s="53" t="s">
        <v>1446</v>
      </c>
      <c r="B677" s="53" t="s">
        <v>1447</v>
      </c>
      <c r="C677" s="54" t="s">
        <v>85</v>
      </c>
      <c r="D677" s="53"/>
    </row>
    <row r="678" spans="1:4" ht="14.4">
      <c r="A678" s="53" t="s">
        <v>1448</v>
      </c>
      <c r="B678" s="53" t="s">
        <v>1449</v>
      </c>
      <c r="C678" s="54" t="s">
        <v>87</v>
      </c>
      <c r="D678" s="53" t="s">
        <v>318</v>
      </c>
    </row>
    <row r="679" spans="1:4" ht="14.4">
      <c r="A679" s="53" t="s">
        <v>1450</v>
      </c>
      <c r="B679" s="53" t="s">
        <v>1451</v>
      </c>
      <c r="C679" s="54" t="s">
        <v>84</v>
      </c>
      <c r="D679" s="53" t="s">
        <v>241</v>
      </c>
    </row>
    <row r="680" spans="1:4" ht="14.4">
      <c r="A680" s="53" t="s">
        <v>1452</v>
      </c>
      <c r="B680" s="53" t="s">
        <v>1453</v>
      </c>
      <c r="C680" s="54" t="s">
        <v>84</v>
      </c>
      <c r="D680" s="53" t="s">
        <v>268</v>
      </c>
    </row>
    <row r="681" spans="1:4" ht="14.4">
      <c r="A681" s="53" t="s">
        <v>1454</v>
      </c>
      <c r="B681" s="53" t="s">
        <v>1455</v>
      </c>
      <c r="C681" s="54" t="s">
        <v>85</v>
      </c>
      <c r="D681" s="53"/>
    </row>
    <row r="682" spans="1:4" ht="14.4">
      <c r="A682" s="53" t="s">
        <v>1456</v>
      </c>
      <c r="B682" s="53" t="s">
        <v>1457</v>
      </c>
      <c r="C682" s="54" t="s">
        <v>89</v>
      </c>
      <c r="D682" s="53" t="s">
        <v>288</v>
      </c>
    </row>
    <row r="683" spans="1:4" ht="14.4">
      <c r="A683" s="53" t="s">
        <v>1458</v>
      </c>
      <c r="B683" s="53" t="s">
        <v>1459</v>
      </c>
      <c r="C683" s="54" t="s">
        <v>89</v>
      </c>
      <c r="D683" s="53" t="s">
        <v>288</v>
      </c>
    </row>
    <row r="684" spans="1:4" ht="14.4">
      <c r="A684" s="53" t="s">
        <v>1460</v>
      </c>
      <c r="B684" s="53" t="s">
        <v>1461</v>
      </c>
      <c r="C684" s="54" t="s">
        <v>89</v>
      </c>
      <c r="D684" s="53" t="s">
        <v>288</v>
      </c>
    </row>
    <row r="685" spans="1:4" ht="14.4">
      <c r="A685" s="53" t="s">
        <v>1462</v>
      </c>
      <c r="B685" s="53" t="s">
        <v>1463</v>
      </c>
      <c r="C685" s="54" t="s">
        <v>89</v>
      </c>
      <c r="D685" s="53" t="s">
        <v>288</v>
      </c>
    </row>
    <row r="686" spans="1:4" ht="14.4">
      <c r="A686" s="53" t="s">
        <v>1464</v>
      </c>
      <c r="B686" s="53" t="s">
        <v>1465</v>
      </c>
      <c r="C686" s="54" t="s">
        <v>89</v>
      </c>
      <c r="D686" s="53" t="s">
        <v>288</v>
      </c>
    </row>
    <row r="687" spans="1:4" ht="14.4">
      <c r="A687" s="53" t="s">
        <v>1466</v>
      </c>
      <c r="B687" s="53" t="s">
        <v>1467</v>
      </c>
      <c r="C687" s="54" t="s">
        <v>89</v>
      </c>
      <c r="D687" s="53" t="s">
        <v>288</v>
      </c>
    </row>
    <row r="688" spans="1:4" ht="14.4">
      <c r="A688" s="53" t="s">
        <v>1468</v>
      </c>
      <c r="B688" s="53" t="s">
        <v>1469</v>
      </c>
      <c r="C688" s="54" t="s">
        <v>89</v>
      </c>
      <c r="D688" s="53" t="s">
        <v>288</v>
      </c>
    </row>
    <row r="689" spans="1:4" ht="14.4">
      <c r="A689" s="53" t="s">
        <v>1470</v>
      </c>
      <c r="B689" s="53" t="s">
        <v>1471</v>
      </c>
      <c r="C689" s="54" t="s">
        <v>89</v>
      </c>
      <c r="D689" s="53" t="s">
        <v>130</v>
      </c>
    </row>
    <row r="690" spans="1:4" ht="14.4">
      <c r="A690" s="53" t="s">
        <v>1472</v>
      </c>
      <c r="B690" s="53" t="s">
        <v>1473</v>
      </c>
      <c r="C690" s="54" t="s">
        <v>89</v>
      </c>
      <c r="D690" s="53" t="s">
        <v>130</v>
      </c>
    </row>
    <row r="691" spans="1:4" ht="14.4">
      <c r="A691" s="53" t="s">
        <v>1474</v>
      </c>
      <c r="B691" s="53" t="s">
        <v>1475</v>
      </c>
      <c r="C691" s="54" t="s">
        <v>89</v>
      </c>
      <c r="D691" s="53" t="s">
        <v>130</v>
      </c>
    </row>
    <row r="692" spans="1:4" ht="14.4">
      <c r="A692" s="53" t="s">
        <v>1476</v>
      </c>
      <c r="B692" s="53" t="s">
        <v>1477</v>
      </c>
      <c r="C692" s="54" t="s">
        <v>87</v>
      </c>
      <c r="D692" s="53" t="s">
        <v>318</v>
      </c>
    </row>
    <row r="693" spans="1:4" ht="14.4">
      <c r="A693" s="53" t="s">
        <v>1478</v>
      </c>
      <c r="B693" s="53" t="s">
        <v>1479</v>
      </c>
      <c r="C693" s="54" t="s">
        <v>89</v>
      </c>
      <c r="D693" s="53" t="s">
        <v>288</v>
      </c>
    </row>
    <row r="694" spans="1:4" ht="14.4">
      <c r="A694" s="53" t="s">
        <v>1480</v>
      </c>
      <c r="B694" s="53" t="s">
        <v>1481</v>
      </c>
      <c r="C694" s="54" t="s">
        <v>87</v>
      </c>
      <c r="D694" s="53" t="s">
        <v>318</v>
      </c>
    </row>
    <row r="695" spans="1:4" ht="14.4">
      <c r="A695" s="53" t="s">
        <v>1482</v>
      </c>
      <c r="B695" s="53" t="s">
        <v>1483</v>
      </c>
      <c r="C695" s="54" t="s">
        <v>87</v>
      </c>
      <c r="D695" s="53" t="s">
        <v>318</v>
      </c>
    </row>
    <row r="696" spans="1:4" ht="14.4">
      <c r="A696" s="53" t="s">
        <v>1484</v>
      </c>
      <c r="B696" s="53" t="s">
        <v>1485</v>
      </c>
      <c r="C696" s="54" t="s">
        <v>89</v>
      </c>
      <c r="D696" s="53" t="s">
        <v>288</v>
      </c>
    </row>
    <row r="697" spans="1:4" ht="14.4">
      <c r="A697" s="53" t="s">
        <v>1486</v>
      </c>
      <c r="B697" s="53" t="s">
        <v>1487</v>
      </c>
      <c r="C697" s="54" t="s">
        <v>89</v>
      </c>
      <c r="D697" s="53" t="s">
        <v>288</v>
      </c>
    </row>
    <row r="698" spans="1:4" ht="14.4">
      <c r="A698" s="53" t="s">
        <v>1488</v>
      </c>
      <c r="B698" s="53" t="s">
        <v>1489</v>
      </c>
      <c r="C698" s="54" t="s">
        <v>89</v>
      </c>
      <c r="D698" s="53" t="s">
        <v>288</v>
      </c>
    </row>
    <row r="699" spans="1:4" ht="14.4">
      <c r="A699" s="53" t="s">
        <v>1490</v>
      </c>
      <c r="B699" s="53" t="s">
        <v>1491</v>
      </c>
      <c r="C699" s="54" t="s">
        <v>89</v>
      </c>
      <c r="D699" s="53" t="s">
        <v>288</v>
      </c>
    </row>
    <row r="700" spans="1:4" ht="14.4">
      <c r="A700" s="53" t="s">
        <v>1492</v>
      </c>
      <c r="B700" s="53" t="s">
        <v>1493</v>
      </c>
      <c r="C700" s="54" t="s">
        <v>89</v>
      </c>
      <c r="D700" s="53" t="s">
        <v>288</v>
      </c>
    </row>
    <row r="701" spans="1:4" ht="14.4">
      <c r="A701" s="53" t="s">
        <v>1494</v>
      </c>
      <c r="B701" s="53" t="s">
        <v>1495</v>
      </c>
      <c r="C701" s="54" t="s">
        <v>89</v>
      </c>
      <c r="D701" s="53" t="s">
        <v>288</v>
      </c>
    </row>
    <row r="702" spans="1:4" ht="14.4">
      <c r="A702" s="53" t="s">
        <v>1496</v>
      </c>
      <c r="B702" s="53" t="s">
        <v>1497</v>
      </c>
      <c r="C702" s="54" t="s">
        <v>89</v>
      </c>
      <c r="D702" s="53" t="s">
        <v>288</v>
      </c>
    </row>
    <row r="703" spans="1:4" ht="14.4">
      <c r="A703" s="53" t="s">
        <v>1498</v>
      </c>
      <c r="B703" s="53" t="s">
        <v>1499</v>
      </c>
      <c r="C703" s="54" t="s">
        <v>89</v>
      </c>
      <c r="D703" s="53" t="s">
        <v>288</v>
      </c>
    </row>
    <row r="704" spans="1:4" ht="14.4">
      <c r="A704" s="53" t="s">
        <v>1500</v>
      </c>
      <c r="B704" s="53" t="s">
        <v>1501</v>
      </c>
      <c r="C704" s="54" t="s">
        <v>89</v>
      </c>
      <c r="D704" s="53" t="s">
        <v>288</v>
      </c>
    </row>
    <row r="705" spans="1:4" ht="14.4">
      <c r="A705" s="53" t="s">
        <v>1502</v>
      </c>
      <c r="B705" s="53" t="s">
        <v>1503</v>
      </c>
      <c r="C705" s="54" t="s">
        <v>89</v>
      </c>
      <c r="D705" s="53" t="s">
        <v>288</v>
      </c>
    </row>
    <row r="706" spans="1:4" ht="14.4">
      <c r="A706" s="53" t="s">
        <v>1504</v>
      </c>
      <c r="B706" s="53" t="s">
        <v>1505</v>
      </c>
      <c r="C706" s="54" t="s">
        <v>89</v>
      </c>
      <c r="D706" s="53" t="s">
        <v>288</v>
      </c>
    </row>
    <row r="707" spans="1:4" ht="14.4">
      <c r="A707" s="53" t="s">
        <v>1506</v>
      </c>
      <c r="B707" s="53" t="s">
        <v>1507</v>
      </c>
      <c r="C707" s="54" t="s">
        <v>89</v>
      </c>
      <c r="D707" s="53" t="s">
        <v>288</v>
      </c>
    </row>
    <row r="708" spans="1:4" ht="14.4">
      <c r="A708" s="53" t="s">
        <v>1508</v>
      </c>
      <c r="B708" s="53" t="s">
        <v>1509</v>
      </c>
      <c r="C708" s="54" t="s">
        <v>87</v>
      </c>
      <c r="D708" s="53" t="s">
        <v>256</v>
      </c>
    </row>
    <row r="709" spans="1:4" ht="14.4">
      <c r="A709" s="53" t="s">
        <v>1510</v>
      </c>
      <c r="B709" s="53" t="s">
        <v>1511</v>
      </c>
      <c r="C709" s="54" t="s">
        <v>87</v>
      </c>
      <c r="D709" s="53" t="s">
        <v>256</v>
      </c>
    </row>
    <row r="710" spans="1:4" ht="14.4">
      <c r="A710" s="53" t="s">
        <v>1512</v>
      </c>
      <c r="B710" s="53" t="s">
        <v>1513</v>
      </c>
      <c r="C710" s="54" t="s">
        <v>87</v>
      </c>
      <c r="D710" s="53" t="s">
        <v>256</v>
      </c>
    </row>
    <row r="711" spans="1:4" ht="14.4">
      <c r="A711" s="53" t="s">
        <v>3100</v>
      </c>
      <c r="B711" s="53" t="s">
        <v>3101</v>
      </c>
      <c r="C711" s="54" t="s">
        <v>89</v>
      </c>
      <c r="D711" s="53" t="s">
        <v>3093</v>
      </c>
    </row>
    <row r="712" spans="1:4" ht="14.4">
      <c r="A712" s="53" t="s">
        <v>1514</v>
      </c>
      <c r="B712" s="53" t="s">
        <v>1515</v>
      </c>
      <c r="C712" s="54" t="s">
        <v>87</v>
      </c>
      <c r="D712" s="53" t="s">
        <v>256</v>
      </c>
    </row>
    <row r="713" spans="1:4" ht="14.4">
      <c r="A713" s="53" t="s">
        <v>1516</v>
      </c>
      <c r="B713" s="53" t="s">
        <v>1517</v>
      </c>
      <c r="C713" s="54" t="s">
        <v>87</v>
      </c>
      <c r="D713" s="53" t="s">
        <v>256</v>
      </c>
    </row>
    <row r="714" spans="1:4" ht="14.4">
      <c r="A714" s="53" t="s">
        <v>1518</v>
      </c>
      <c r="B714" s="53" t="s">
        <v>1519</v>
      </c>
      <c r="C714" s="54" t="s">
        <v>87</v>
      </c>
      <c r="D714" s="53" t="s">
        <v>256</v>
      </c>
    </row>
    <row r="715" spans="1:4" ht="14.4">
      <c r="A715" s="53" t="s">
        <v>1520</v>
      </c>
      <c r="B715" s="53" t="s">
        <v>1521</v>
      </c>
      <c r="C715" s="54" t="s">
        <v>88</v>
      </c>
      <c r="D715" s="53"/>
    </row>
    <row r="716" spans="1:4" ht="14.4">
      <c r="A716" s="53" t="s">
        <v>1522</v>
      </c>
      <c r="B716" s="53" t="s">
        <v>1523</v>
      </c>
      <c r="C716" s="54" t="s">
        <v>87</v>
      </c>
      <c r="D716" s="53" t="s">
        <v>256</v>
      </c>
    </row>
    <row r="717" spans="1:4" ht="14.4">
      <c r="A717" s="53" t="s">
        <v>1524</v>
      </c>
      <c r="B717" s="53" t="s">
        <v>1525</v>
      </c>
      <c r="C717" s="54" t="s">
        <v>59</v>
      </c>
      <c r="D717" s="53"/>
    </row>
    <row r="718" spans="1:4" ht="14.4">
      <c r="A718" s="53" t="s">
        <v>1526</v>
      </c>
      <c r="B718" s="53" t="s">
        <v>1527</v>
      </c>
      <c r="C718" s="54" t="s">
        <v>88</v>
      </c>
      <c r="D718" s="53"/>
    </row>
    <row r="719" spans="1:4" ht="14.4">
      <c r="A719" s="53" t="s">
        <v>1528</v>
      </c>
      <c r="B719" s="53" t="s">
        <v>1529</v>
      </c>
      <c r="C719" s="54" t="s">
        <v>89</v>
      </c>
      <c r="D719" s="53" t="s">
        <v>256</v>
      </c>
    </row>
    <row r="720" spans="1:4" ht="14.4">
      <c r="A720" s="53" t="s">
        <v>1530</v>
      </c>
      <c r="B720" s="53" t="s">
        <v>1531</v>
      </c>
      <c r="C720" s="54" t="s">
        <v>89</v>
      </c>
      <c r="D720" s="53" t="s">
        <v>288</v>
      </c>
    </row>
    <row r="721" spans="1:4" ht="14.4">
      <c r="A721" s="53" t="s">
        <v>1532</v>
      </c>
      <c r="B721" s="53" t="s">
        <v>1533</v>
      </c>
      <c r="C721" s="54" t="s">
        <v>89</v>
      </c>
      <c r="D721" s="53" t="s">
        <v>121</v>
      </c>
    </row>
    <row r="722" spans="1:4" ht="14.4">
      <c r="A722" s="53" t="s">
        <v>1534</v>
      </c>
      <c r="B722" s="53" t="s">
        <v>1535</v>
      </c>
      <c r="C722" s="54" t="s">
        <v>85</v>
      </c>
      <c r="D722" s="53"/>
    </row>
    <row r="723" spans="1:4" ht="14.4">
      <c r="A723" s="53" t="s">
        <v>1536</v>
      </c>
      <c r="B723" s="53" t="s">
        <v>1537</v>
      </c>
      <c r="C723" s="54" t="s">
        <v>84</v>
      </c>
      <c r="D723" s="53" t="s">
        <v>241</v>
      </c>
    </row>
    <row r="724" spans="1:4" ht="14.4">
      <c r="A724" s="53" t="s">
        <v>1538</v>
      </c>
      <c r="B724" s="53" t="s">
        <v>1539</v>
      </c>
      <c r="C724" s="54" t="s">
        <v>87</v>
      </c>
      <c r="D724" s="53" t="s">
        <v>256</v>
      </c>
    </row>
    <row r="725" spans="1:4" ht="14.4">
      <c r="A725" s="53" t="s">
        <v>1540</v>
      </c>
      <c r="B725" s="53" t="s">
        <v>1541</v>
      </c>
      <c r="C725" s="54" t="s">
        <v>87</v>
      </c>
      <c r="D725" s="53" t="s">
        <v>256</v>
      </c>
    </row>
    <row r="726" spans="1:4" ht="14.4">
      <c r="A726" s="53" t="s">
        <v>1542</v>
      </c>
      <c r="B726" s="53" t="s">
        <v>1543</v>
      </c>
      <c r="C726" s="54" t="s">
        <v>87</v>
      </c>
      <c r="D726" s="53" t="s">
        <v>256</v>
      </c>
    </row>
    <row r="727" spans="1:4" ht="14.4">
      <c r="A727" s="53" t="s">
        <v>1544</v>
      </c>
      <c r="B727" s="53" t="s">
        <v>1545</v>
      </c>
      <c r="C727" s="54" t="s">
        <v>87</v>
      </c>
      <c r="D727" s="53" t="s">
        <v>256</v>
      </c>
    </row>
    <row r="728" spans="1:4" ht="14.4">
      <c r="A728" s="53" t="s">
        <v>1546</v>
      </c>
      <c r="B728" s="53" t="s">
        <v>1547</v>
      </c>
      <c r="C728" s="54" t="s">
        <v>87</v>
      </c>
      <c r="D728" s="53" t="s">
        <v>256</v>
      </c>
    </row>
    <row r="729" spans="1:4" ht="14.4">
      <c r="A729" s="53" t="s">
        <v>1548</v>
      </c>
      <c r="B729" s="53" t="s">
        <v>1549</v>
      </c>
      <c r="C729" s="54" t="s">
        <v>87</v>
      </c>
      <c r="D729" s="53" t="s">
        <v>318</v>
      </c>
    </row>
    <row r="730" spans="1:4" ht="14.4">
      <c r="A730" s="53" t="s">
        <v>1550</v>
      </c>
      <c r="B730" s="53" t="s">
        <v>1551</v>
      </c>
      <c r="C730" s="54" t="s">
        <v>87</v>
      </c>
      <c r="D730" s="53" t="s">
        <v>318</v>
      </c>
    </row>
    <row r="731" spans="1:4" ht="14.4">
      <c r="A731" s="53" t="s">
        <v>1552</v>
      </c>
      <c r="B731" s="53" t="s">
        <v>1553</v>
      </c>
      <c r="C731" s="54" t="s">
        <v>87</v>
      </c>
      <c r="D731" s="53" t="s">
        <v>318</v>
      </c>
    </row>
    <row r="732" spans="1:4" ht="14.4">
      <c r="A732" s="53" t="s">
        <v>1554</v>
      </c>
      <c r="B732" s="53" t="s">
        <v>1555</v>
      </c>
      <c r="C732" s="54" t="s">
        <v>89</v>
      </c>
      <c r="D732" s="53" t="s">
        <v>130</v>
      </c>
    </row>
    <row r="733" spans="1:4" ht="14.4">
      <c r="A733" s="53" t="s">
        <v>1556</v>
      </c>
      <c r="B733" s="53" t="s">
        <v>1557</v>
      </c>
      <c r="C733" s="54" t="s">
        <v>88</v>
      </c>
      <c r="D733" s="53"/>
    </row>
    <row r="734" spans="1:4" ht="14.4">
      <c r="A734" s="53" t="s">
        <v>1558</v>
      </c>
      <c r="B734" s="53" t="s">
        <v>1559</v>
      </c>
      <c r="C734" s="54" t="s">
        <v>85</v>
      </c>
      <c r="D734" s="53"/>
    </row>
    <row r="735" spans="1:4" ht="14.4">
      <c r="A735" s="53" t="s">
        <v>1560</v>
      </c>
      <c r="B735" s="53" t="s">
        <v>1561</v>
      </c>
      <c r="C735" s="54" t="s">
        <v>85</v>
      </c>
      <c r="D735" s="53"/>
    </row>
    <row r="736" spans="1:4" ht="14.4">
      <c r="A736" s="53" t="s">
        <v>1562</v>
      </c>
      <c r="B736" s="53" t="s">
        <v>1563</v>
      </c>
      <c r="C736" s="54" t="s">
        <v>88</v>
      </c>
      <c r="D736" s="53"/>
    </row>
    <row r="737" spans="1:4" ht="14.4">
      <c r="A737" s="53" t="s">
        <v>1564</v>
      </c>
      <c r="B737" s="53" t="s">
        <v>1565</v>
      </c>
      <c r="C737" s="54" t="s">
        <v>88</v>
      </c>
      <c r="D737" s="53"/>
    </row>
    <row r="738" spans="1:4" ht="14.4">
      <c r="A738" s="53" t="s">
        <v>1566</v>
      </c>
      <c r="B738" s="53" t="s">
        <v>1567</v>
      </c>
      <c r="C738" s="54" t="s">
        <v>87</v>
      </c>
      <c r="D738" s="53" t="s">
        <v>524</v>
      </c>
    </row>
    <row r="739" spans="1:4" ht="14.4">
      <c r="A739" s="53" t="s">
        <v>1568</v>
      </c>
      <c r="B739" s="53" t="s">
        <v>1569</v>
      </c>
      <c r="C739" s="54" t="s">
        <v>87</v>
      </c>
      <c r="D739" s="53" t="s">
        <v>256</v>
      </c>
    </row>
    <row r="740" spans="1:4" ht="14.4">
      <c r="A740" s="53" t="s">
        <v>1570</v>
      </c>
      <c r="B740" s="53" t="s">
        <v>1571</v>
      </c>
      <c r="C740" s="54" t="s">
        <v>87</v>
      </c>
      <c r="D740" s="53" t="s">
        <v>256</v>
      </c>
    </row>
    <row r="741" spans="1:4" ht="14.4">
      <c r="A741" s="53" t="s">
        <v>1572</v>
      </c>
      <c r="B741" s="53" t="s">
        <v>1573</v>
      </c>
      <c r="C741" s="54" t="s">
        <v>87</v>
      </c>
      <c r="D741" s="53" t="s">
        <v>256</v>
      </c>
    </row>
    <row r="742" spans="1:4" ht="14.4">
      <c r="A742" s="53" t="s">
        <v>1574</v>
      </c>
      <c r="B742" s="53" t="s">
        <v>1575</v>
      </c>
      <c r="C742" s="54" t="s">
        <v>87</v>
      </c>
      <c r="D742" s="53" t="s">
        <v>256</v>
      </c>
    </row>
    <row r="743" spans="1:4" ht="14.4">
      <c r="A743" s="53" t="s">
        <v>1576</v>
      </c>
      <c r="B743" s="53" t="s">
        <v>1577</v>
      </c>
      <c r="C743" s="54" t="s">
        <v>87</v>
      </c>
      <c r="D743" s="53" t="s">
        <v>256</v>
      </c>
    </row>
    <row r="744" spans="1:4" ht="14.4">
      <c r="A744" s="53" t="s">
        <v>1578</v>
      </c>
      <c r="B744" s="53" t="s">
        <v>1579</v>
      </c>
      <c r="C744" s="54" t="s">
        <v>87</v>
      </c>
      <c r="D744" s="53" t="s">
        <v>256</v>
      </c>
    </row>
    <row r="745" spans="1:4" ht="14.4">
      <c r="A745" s="53" t="s">
        <v>3102</v>
      </c>
      <c r="B745" s="53" t="s">
        <v>3103</v>
      </c>
      <c r="C745" s="54" t="s">
        <v>87</v>
      </c>
      <c r="D745" s="53"/>
    </row>
    <row r="746" spans="1:4" ht="14.4">
      <c r="A746" s="53" t="s">
        <v>1580</v>
      </c>
      <c r="B746" s="53" t="s">
        <v>1581</v>
      </c>
      <c r="C746" s="54" t="s">
        <v>87</v>
      </c>
      <c r="D746" s="53" t="s">
        <v>256</v>
      </c>
    </row>
    <row r="747" spans="1:4" ht="14.4">
      <c r="A747" s="53" t="s">
        <v>1582</v>
      </c>
      <c r="B747" s="53" t="s">
        <v>1583</v>
      </c>
      <c r="C747" s="54" t="s">
        <v>85</v>
      </c>
      <c r="D747" s="53"/>
    </row>
    <row r="748" spans="1:4" ht="14.4">
      <c r="A748" s="53" t="s">
        <v>1584</v>
      </c>
      <c r="B748" s="53" t="s">
        <v>1585</v>
      </c>
      <c r="C748" s="54" t="s">
        <v>88</v>
      </c>
      <c r="D748" s="53"/>
    </row>
    <row r="749" spans="1:4" ht="14.4">
      <c r="A749" s="53" t="s">
        <v>1586</v>
      </c>
      <c r="B749" s="53" t="s">
        <v>1587</v>
      </c>
      <c r="C749" s="54" t="s">
        <v>85</v>
      </c>
      <c r="D749" s="53"/>
    </row>
    <row r="750" spans="1:4" ht="14.4">
      <c r="A750" s="53" t="s">
        <v>1588</v>
      </c>
      <c r="B750" s="53" t="s">
        <v>1589</v>
      </c>
      <c r="C750" s="54" t="s">
        <v>85</v>
      </c>
      <c r="D750" s="53"/>
    </row>
    <row r="751" spans="1:4" ht="14.4">
      <c r="A751" s="53" t="s">
        <v>1590</v>
      </c>
      <c r="B751" s="53" t="s">
        <v>1591</v>
      </c>
      <c r="C751" s="54" t="s">
        <v>85</v>
      </c>
      <c r="D751" s="53"/>
    </row>
    <row r="752" spans="1:4" ht="14.4">
      <c r="A752" s="53" t="s">
        <v>1592</v>
      </c>
      <c r="B752" s="53" t="s">
        <v>1593</v>
      </c>
      <c r="C752" s="54" t="s">
        <v>85</v>
      </c>
      <c r="D752" s="53"/>
    </row>
    <row r="753" spans="1:4" ht="14.4">
      <c r="A753" s="53" t="s">
        <v>1594</v>
      </c>
      <c r="B753" s="53" t="s">
        <v>1595</v>
      </c>
      <c r="C753" s="54" t="s">
        <v>89</v>
      </c>
      <c r="D753" s="53" t="s">
        <v>130</v>
      </c>
    </row>
    <row r="754" spans="1:4" ht="14.4">
      <c r="A754" s="53" t="s">
        <v>1596</v>
      </c>
      <c r="B754" s="53" t="s">
        <v>1597</v>
      </c>
      <c r="C754" s="54" t="s">
        <v>89</v>
      </c>
      <c r="D754" s="53" t="s">
        <v>130</v>
      </c>
    </row>
    <row r="755" spans="1:4" ht="14.4">
      <c r="A755" s="53" t="s">
        <v>1598</v>
      </c>
      <c r="B755" s="53" t="s">
        <v>1599</v>
      </c>
      <c r="C755" s="54" t="s">
        <v>89</v>
      </c>
      <c r="D755" s="53" t="s">
        <v>130</v>
      </c>
    </row>
    <row r="756" spans="1:4" ht="14.4">
      <c r="A756" s="53" t="s">
        <v>1600</v>
      </c>
      <c r="B756" s="53" t="s">
        <v>1601</v>
      </c>
      <c r="C756" s="54" t="s">
        <v>87</v>
      </c>
      <c r="D756" s="53" t="s">
        <v>318</v>
      </c>
    </row>
    <row r="757" spans="1:4" ht="14.4">
      <c r="A757" s="53" t="s">
        <v>1602</v>
      </c>
      <c r="B757" s="53" t="s">
        <v>1603</v>
      </c>
      <c r="C757" s="54" t="s">
        <v>87</v>
      </c>
      <c r="D757" s="53" t="s">
        <v>318</v>
      </c>
    </row>
    <row r="758" spans="1:4" ht="14.4">
      <c r="A758" s="53" t="s">
        <v>1604</v>
      </c>
      <c r="B758" s="53" t="s">
        <v>1605</v>
      </c>
      <c r="C758" s="54" t="s">
        <v>87</v>
      </c>
      <c r="D758" s="53" t="s">
        <v>318</v>
      </c>
    </row>
    <row r="759" spans="1:4" ht="14.4">
      <c r="A759" s="53" t="s">
        <v>1606</v>
      </c>
      <c r="B759" s="53" t="s">
        <v>1607</v>
      </c>
      <c r="C759" s="54" t="s">
        <v>89</v>
      </c>
      <c r="D759" s="53" t="s">
        <v>288</v>
      </c>
    </row>
    <row r="760" spans="1:4" ht="14.4">
      <c r="A760" s="53" t="s">
        <v>1608</v>
      </c>
      <c r="B760" s="53" t="s">
        <v>1609</v>
      </c>
      <c r="C760" s="54" t="s">
        <v>87</v>
      </c>
      <c r="D760" s="53" t="s">
        <v>318</v>
      </c>
    </row>
    <row r="761" spans="1:4" ht="14.4">
      <c r="A761" s="53" t="s">
        <v>1610</v>
      </c>
      <c r="B761" s="53" t="s">
        <v>1611</v>
      </c>
      <c r="C761" s="54" t="s">
        <v>87</v>
      </c>
      <c r="D761" s="53" t="s">
        <v>318</v>
      </c>
    </row>
    <row r="762" spans="1:4" ht="14.4">
      <c r="A762" s="53" t="s">
        <v>1612</v>
      </c>
      <c r="B762" s="53" t="s">
        <v>1613</v>
      </c>
      <c r="C762" s="54" t="s">
        <v>87</v>
      </c>
      <c r="D762" s="53" t="s">
        <v>318</v>
      </c>
    </row>
    <row r="763" spans="1:4" ht="14.4">
      <c r="A763" s="53" t="s">
        <v>1614</v>
      </c>
      <c r="B763" s="53" t="s">
        <v>1615</v>
      </c>
      <c r="C763" s="54" t="s">
        <v>87</v>
      </c>
      <c r="D763" s="53" t="s">
        <v>318</v>
      </c>
    </row>
    <row r="764" spans="1:4" ht="14.4">
      <c r="A764" s="53" t="s">
        <v>1616</v>
      </c>
      <c r="B764" s="53" t="s">
        <v>1617</v>
      </c>
      <c r="C764" s="54" t="s">
        <v>87</v>
      </c>
      <c r="D764" s="53" t="s">
        <v>318</v>
      </c>
    </row>
    <row r="765" spans="1:4" ht="14.4">
      <c r="A765" s="53" t="s">
        <v>1618</v>
      </c>
      <c r="B765" s="53" t="s">
        <v>1619</v>
      </c>
      <c r="C765" s="54" t="s">
        <v>87</v>
      </c>
      <c r="D765" s="53" t="s">
        <v>318</v>
      </c>
    </row>
    <row r="766" spans="1:4" ht="14.4">
      <c r="A766" s="53" t="s">
        <v>1620</v>
      </c>
      <c r="B766" s="53" t="s">
        <v>1621</v>
      </c>
      <c r="C766" s="54" t="s">
        <v>87</v>
      </c>
      <c r="D766" s="53" t="s">
        <v>318</v>
      </c>
    </row>
    <row r="767" spans="1:4" ht="14.4">
      <c r="A767" s="53" t="s">
        <v>1622</v>
      </c>
      <c r="B767" s="53" t="s">
        <v>1623</v>
      </c>
      <c r="C767" s="54" t="s">
        <v>90</v>
      </c>
      <c r="D767" s="53"/>
    </row>
    <row r="768" spans="1:4" ht="14.4">
      <c r="A768" s="53" t="s">
        <v>1624</v>
      </c>
      <c r="B768" s="53" t="s">
        <v>1625</v>
      </c>
      <c r="C768" s="54" t="s">
        <v>89</v>
      </c>
      <c r="D768" s="53" t="s">
        <v>288</v>
      </c>
    </row>
    <row r="769" spans="1:4" ht="14.4">
      <c r="A769" s="53" t="s">
        <v>1626</v>
      </c>
      <c r="B769" s="53" t="s">
        <v>1627</v>
      </c>
      <c r="C769" s="54" t="s">
        <v>89</v>
      </c>
      <c r="D769" s="53" t="s">
        <v>288</v>
      </c>
    </row>
    <row r="770" spans="1:4" ht="14.4">
      <c r="A770" s="53" t="s">
        <v>1628</v>
      </c>
      <c r="B770" s="53" t="s">
        <v>1629</v>
      </c>
      <c r="C770" s="54" t="s">
        <v>88</v>
      </c>
      <c r="D770" s="53"/>
    </row>
    <row r="771" spans="1:4" ht="14.4">
      <c r="A771" s="53" t="s">
        <v>1630</v>
      </c>
      <c r="B771" s="53" t="s">
        <v>1631</v>
      </c>
      <c r="C771" s="54" t="s">
        <v>85</v>
      </c>
      <c r="D771" s="53"/>
    </row>
    <row r="772" spans="1:4" ht="14.4">
      <c r="A772" s="53" t="s">
        <v>1632</v>
      </c>
      <c r="B772" s="53" t="s">
        <v>1633</v>
      </c>
      <c r="C772" s="54" t="s">
        <v>88</v>
      </c>
      <c r="D772" s="53"/>
    </row>
    <row r="773" spans="1:4" ht="14.4">
      <c r="A773" s="53" t="s">
        <v>1634</v>
      </c>
      <c r="B773" s="53" t="s">
        <v>1635</v>
      </c>
      <c r="C773" s="54" t="s">
        <v>59</v>
      </c>
      <c r="D773" s="53"/>
    </row>
    <row r="774" spans="1:4" ht="14.4">
      <c r="A774" s="53" t="s">
        <v>1630</v>
      </c>
      <c r="B774" s="53" t="s">
        <v>1636</v>
      </c>
      <c r="C774" s="54" t="s">
        <v>89</v>
      </c>
      <c r="D774" s="53" t="s">
        <v>387</v>
      </c>
    </row>
    <row r="775" spans="1:4" ht="14.4">
      <c r="A775" s="53" t="s">
        <v>1637</v>
      </c>
      <c r="B775" s="53" t="s">
        <v>1638</v>
      </c>
      <c r="C775" s="54" t="s">
        <v>89</v>
      </c>
      <c r="D775" s="53" t="s">
        <v>387</v>
      </c>
    </row>
    <row r="776" spans="1:4" ht="14.4">
      <c r="A776" s="53" t="s">
        <v>1639</v>
      </c>
      <c r="B776" s="53" t="s">
        <v>1640</v>
      </c>
      <c r="C776" s="54" t="s">
        <v>89</v>
      </c>
      <c r="D776" s="53" t="s">
        <v>387</v>
      </c>
    </row>
    <row r="777" spans="1:4" ht="14.4">
      <c r="A777" s="53" t="s">
        <v>1641</v>
      </c>
      <c r="B777" s="53" t="s">
        <v>1642</v>
      </c>
      <c r="C777" s="54" t="s">
        <v>89</v>
      </c>
      <c r="D777" s="53" t="s">
        <v>387</v>
      </c>
    </row>
    <row r="778" spans="1:4" ht="14.4">
      <c r="A778" s="53" t="s">
        <v>1643</v>
      </c>
      <c r="B778" s="53" t="s">
        <v>1644</v>
      </c>
      <c r="C778" s="54" t="s">
        <v>87</v>
      </c>
      <c r="D778" s="53" t="s">
        <v>524</v>
      </c>
    </row>
    <row r="779" spans="1:4" ht="14.4">
      <c r="A779" s="53" t="s">
        <v>1645</v>
      </c>
      <c r="B779" s="53" t="s">
        <v>1646</v>
      </c>
      <c r="C779" s="54" t="s">
        <v>89</v>
      </c>
      <c r="D779" s="53" t="s">
        <v>130</v>
      </c>
    </row>
    <row r="780" spans="1:4" ht="14.4">
      <c r="A780" s="53" t="s">
        <v>1647</v>
      </c>
      <c r="B780" s="53" t="s">
        <v>1648</v>
      </c>
      <c r="C780" s="54" t="s">
        <v>89</v>
      </c>
      <c r="D780" s="53" t="s">
        <v>130</v>
      </c>
    </row>
    <row r="781" spans="1:4" ht="14.4">
      <c r="A781" s="53" t="s">
        <v>1649</v>
      </c>
      <c r="B781" s="53" t="s">
        <v>1650</v>
      </c>
      <c r="C781" s="54" t="s">
        <v>89</v>
      </c>
      <c r="D781" s="53" t="s">
        <v>130</v>
      </c>
    </row>
    <row r="782" spans="1:4" ht="14.4">
      <c r="A782" s="53" t="s">
        <v>1651</v>
      </c>
      <c r="B782" s="53" t="s">
        <v>1652</v>
      </c>
      <c r="C782" s="54" t="s">
        <v>85</v>
      </c>
      <c r="D782" s="53"/>
    </row>
    <row r="783" spans="1:4" ht="14.4">
      <c r="A783" s="53" t="s">
        <v>1653</v>
      </c>
      <c r="B783" s="53" t="s">
        <v>1654</v>
      </c>
      <c r="C783" s="54" t="s">
        <v>84</v>
      </c>
      <c r="D783" s="53" t="s">
        <v>268</v>
      </c>
    </row>
    <row r="784" spans="1:4" ht="14.4">
      <c r="A784" s="53" t="s">
        <v>1655</v>
      </c>
      <c r="B784" s="53" t="s">
        <v>1656</v>
      </c>
      <c r="C784" s="54" t="s">
        <v>84</v>
      </c>
      <c r="D784" s="53" t="s">
        <v>268</v>
      </c>
    </row>
    <row r="785" spans="1:4" ht="14.4">
      <c r="A785" s="53" t="s">
        <v>1657</v>
      </c>
      <c r="B785" s="53" t="s">
        <v>1658</v>
      </c>
      <c r="C785" s="54" t="s">
        <v>87</v>
      </c>
      <c r="D785" s="53" t="s">
        <v>318</v>
      </c>
    </row>
    <row r="786" spans="1:4" ht="14.4">
      <c r="A786" s="53" t="s">
        <v>1659</v>
      </c>
      <c r="B786" s="53" t="s">
        <v>1660</v>
      </c>
      <c r="C786" s="54" t="s">
        <v>84</v>
      </c>
      <c r="D786" s="53" t="s">
        <v>694</v>
      </c>
    </row>
    <row r="787" spans="1:4" ht="14.4">
      <c r="A787" s="53" t="s">
        <v>1661</v>
      </c>
      <c r="B787" s="53" t="s">
        <v>1662</v>
      </c>
      <c r="C787" s="54" t="s">
        <v>84</v>
      </c>
      <c r="D787" s="53" t="s">
        <v>694</v>
      </c>
    </row>
    <row r="788" spans="1:4" ht="14.4">
      <c r="A788" s="53" t="s">
        <v>1663</v>
      </c>
      <c r="B788" s="53" t="s">
        <v>1664</v>
      </c>
      <c r="C788" s="54" t="s">
        <v>84</v>
      </c>
      <c r="D788" s="53" t="s">
        <v>694</v>
      </c>
    </row>
    <row r="789" spans="1:4" ht="14.4">
      <c r="A789" s="53" t="s">
        <v>1665</v>
      </c>
      <c r="B789" s="53" t="s">
        <v>1666</v>
      </c>
      <c r="C789" s="54" t="s">
        <v>84</v>
      </c>
      <c r="D789" s="53" t="s">
        <v>694</v>
      </c>
    </row>
    <row r="790" spans="1:4" ht="14.4">
      <c r="A790" s="53" t="s">
        <v>1667</v>
      </c>
      <c r="B790" s="53" t="s">
        <v>1668</v>
      </c>
      <c r="C790" s="54" t="s">
        <v>85</v>
      </c>
      <c r="D790" s="53"/>
    </row>
    <row r="791" spans="1:4" ht="14.4">
      <c r="A791" s="53" t="s">
        <v>1669</v>
      </c>
      <c r="B791" s="53" t="s">
        <v>1670</v>
      </c>
      <c r="C791" s="54" t="s">
        <v>84</v>
      </c>
      <c r="D791" s="53" t="s">
        <v>694</v>
      </c>
    </row>
    <row r="792" spans="1:4" ht="14.4">
      <c r="A792" s="53" t="s">
        <v>1671</v>
      </c>
      <c r="B792" s="53" t="s">
        <v>1672</v>
      </c>
      <c r="C792" s="54" t="s">
        <v>59</v>
      </c>
      <c r="D792" s="53"/>
    </row>
    <row r="793" spans="1:4" ht="14.4">
      <c r="A793" s="53" t="s">
        <v>1673</v>
      </c>
      <c r="B793" s="53" t="s">
        <v>1674</v>
      </c>
      <c r="C793" s="54" t="s">
        <v>85</v>
      </c>
      <c r="D793" s="53"/>
    </row>
    <row r="794" spans="1:4" ht="14.4">
      <c r="A794" s="53" t="s">
        <v>1675</v>
      </c>
      <c r="B794" s="53" t="s">
        <v>1676</v>
      </c>
      <c r="C794" s="54" t="s">
        <v>84</v>
      </c>
      <c r="D794" s="53" t="s">
        <v>694</v>
      </c>
    </row>
    <row r="795" spans="1:4" ht="14.4">
      <c r="A795" s="53" t="s">
        <v>1677</v>
      </c>
      <c r="B795" s="53" t="s">
        <v>1678</v>
      </c>
      <c r="C795" s="54" t="s">
        <v>84</v>
      </c>
      <c r="D795" s="53" t="s">
        <v>694</v>
      </c>
    </row>
    <row r="796" spans="1:4" ht="14.4">
      <c r="A796" s="53" t="s">
        <v>1679</v>
      </c>
      <c r="B796" s="53" t="s">
        <v>1680</v>
      </c>
      <c r="C796" s="54" t="s">
        <v>87</v>
      </c>
      <c r="D796" s="53" t="s">
        <v>318</v>
      </c>
    </row>
    <row r="797" spans="1:4" ht="14.4">
      <c r="A797" s="53" t="s">
        <v>1681</v>
      </c>
      <c r="B797" s="53" t="s">
        <v>1682</v>
      </c>
      <c r="C797" s="54" t="s">
        <v>85</v>
      </c>
      <c r="D797" s="53"/>
    </row>
    <row r="798" spans="1:4" ht="14.4">
      <c r="A798" s="53" t="s">
        <v>1683</v>
      </c>
      <c r="B798" s="53" t="s">
        <v>1684</v>
      </c>
      <c r="C798" s="54" t="s">
        <v>89</v>
      </c>
      <c r="D798" s="53" t="s">
        <v>130</v>
      </c>
    </row>
    <row r="799" spans="1:4" ht="14.4">
      <c r="A799" s="53" t="s">
        <v>1685</v>
      </c>
      <c r="B799" s="53" t="s">
        <v>1686</v>
      </c>
      <c r="C799" s="54" t="s">
        <v>89</v>
      </c>
      <c r="D799" s="53" t="s">
        <v>121</v>
      </c>
    </row>
    <row r="800" spans="1:4" ht="14.4">
      <c r="A800" s="53" t="s">
        <v>1687</v>
      </c>
      <c r="B800" s="53" t="s">
        <v>1688</v>
      </c>
      <c r="C800" s="54" t="s">
        <v>88</v>
      </c>
      <c r="D800" s="53"/>
    </row>
    <row r="801" spans="1:4" ht="14.4">
      <c r="A801" s="53" t="s">
        <v>1689</v>
      </c>
      <c r="B801" s="53" t="s">
        <v>1690</v>
      </c>
      <c r="C801" s="54" t="s">
        <v>84</v>
      </c>
      <c r="D801" s="53" t="s">
        <v>694</v>
      </c>
    </row>
    <row r="802" spans="1:4" ht="14.4">
      <c r="A802" s="53" t="s">
        <v>1691</v>
      </c>
      <c r="B802" s="53" t="s">
        <v>1692</v>
      </c>
      <c r="C802" s="54" t="s">
        <v>84</v>
      </c>
      <c r="D802" s="53" t="s">
        <v>694</v>
      </c>
    </row>
    <row r="803" spans="1:4" ht="14.4">
      <c r="A803" s="53" t="s">
        <v>1693</v>
      </c>
      <c r="B803" s="53" t="s">
        <v>1694</v>
      </c>
      <c r="C803" s="54" t="s">
        <v>85</v>
      </c>
      <c r="D803" s="53"/>
    </row>
    <row r="804" spans="1:4" ht="14.4">
      <c r="A804" s="53" t="s">
        <v>1695</v>
      </c>
      <c r="B804" s="53" t="s">
        <v>1696</v>
      </c>
      <c r="C804" s="54" t="s">
        <v>85</v>
      </c>
      <c r="D804" s="53"/>
    </row>
    <row r="805" spans="1:4" ht="14.4">
      <c r="A805" s="53" t="s">
        <v>1697</v>
      </c>
      <c r="B805" s="53" t="s">
        <v>1698</v>
      </c>
      <c r="C805" s="54" t="s">
        <v>84</v>
      </c>
      <c r="D805" s="53" t="s">
        <v>694</v>
      </c>
    </row>
    <row r="806" spans="1:4" ht="14.4">
      <c r="A806" s="53" t="s">
        <v>1699</v>
      </c>
      <c r="B806" s="53" t="s">
        <v>1700</v>
      </c>
      <c r="C806" s="54" t="s">
        <v>84</v>
      </c>
      <c r="D806" s="53" t="s">
        <v>694</v>
      </c>
    </row>
    <row r="807" spans="1:4" ht="14.4">
      <c r="A807" s="53" t="s">
        <v>1701</v>
      </c>
      <c r="B807" s="53" t="s">
        <v>1702</v>
      </c>
      <c r="C807" s="54" t="s">
        <v>84</v>
      </c>
      <c r="D807" s="53" t="s">
        <v>694</v>
      </c>
    </row>
    <row r="808" spans="1:4" ht="14.4">
      <c r="A808" s="53" t="s">
        <v>1703</v>
      </c>
      <c r="B808" s="53" t="s">
        <v>1704</v>
      </c>
      <c r="C808" s="54" t="s">
        <v>84</v>
      </c>
      <c r="D808" s="53" t="s">
        <v>694</v>
      </c>
    </row>
    <row r="809" spans="1:4" ht="14.4">
      <c r="A809" s="53" t="s">
        <v>1705</v>
      </c>
      <c r="B809" s="53" t="s">
        <v>1706</v>
      </c>
      <c r="C809" s="54" t="s">
        <v>84</v>
      </c>
      <c r="D809" s="53" t="s">
        <v>694</v>
      </c>
    </row>
    <row r="810" spans="1:4" ht="14.4">
      <c r="A810" s="53" t="s">
        <v>1707</v>
      </c>
      <c r="B810" s="53" t="s">
        <v>1708</v>
      </c>
      <c r="C810" s="54" t="s">
        <v>84</v>
      </c>
      <c r="D810" s="53" t="s">
        <v>694</v>
      </c>
    </row>
    <row r="811" spans="1:4" ht="14.4">
      <c r="A811" s="53" t="s">
        <v>1709</v>
      </c>
      <c r="B811" s="53" t="s">
        <v>1710</v>
      </c>
      <c r="C811" s="54" t="s">
        <v>84</v>
      </c>
      <c r="D811" s="53" t="s">
        <v>694</v>
      </c>
    </row>
    <row r="812" spans="1:4" ht="14.4">
      <c r="A812" s="53" t="s">
        <v>1711</v>
      </c>
      <c r="B812" s="53" t="s">
        <v>1712</v>
      </c>
      <c r="C812" s="54" t="s">
        <v>84</v>
      </c>
      <c r="D812" s="53" t="s">
        <v>694</v>
      </c>
    </row>
    <row r="813" spans="1:4" ht="14.4">
      <c r="A813" s="53" t="s">
        <v>1713</v>
      </c>
      <c r="B813" s="53" t="s">
        <v>1714</v>
      </c>
      <c r="C813" s="54" t="s">
        <v>59</v>
      </c>
      <c r="D813" s="53"/>
    </row>
    <row r="814" spans="1:4" ht="14.4">
      <c r="A814" s="53" t="s">
        <v>1715</v>
      </c>
      <c r="B814" s="53" t="s">
        <v>1716</v>
      </c>
      <c r="C814" s="54" t="s">
        <v>85</v>
      </c>
      <c r="D814" s="53"/>
    </row>
    <row r="815" spans="1:4" ht="14.4">
      <c r="A815" s="53" t="s">
        <v>1717</v>
      </c>
      <c r="B815" s="53" t="s">
        <v>1718</v>
      </c>
      <c r="C815" s="54" t="s">
        <v>84</v>
      </c>
      <c r="D815" s="53" t="s">
        <v>694</v>
      </c>
    </row>
    <row r="816" spans="1:4" ht="14.4">
      <c r="A816" s="53" t="s">
        <v>1719</v>
      </c>
      <c r="B816" s="53" t="s">
        <v>1720</v>
      </c>
      <c r="C816" s="54" t="s">
        <v>84</v>
      </c>
      <c r="D816" s="53" t="s">
        <v>694</v>
      </c>
    </row>
    <row r="817" spans="1:4" ht="14.4">
      <c r="A817" s="53" t="s">
        <v>1721</v>
      </c>
      <c r="B817" s="53" t="s">
        <v>1722</v>
      </c>
      <c r="C817" s="54" t="s">
        <v>84</v>
      </c>
      <c r="D817" s="53" t="s">
        <v>694</v>
      </c>
    </row>
    <row r="818" spans="1:4" ht="14.4">
      <c r="A818" s="53" t="s">
        <v>1723</v>
      </c>
      <c r="B818" s="53" t="s">
        <v>1724</v>
      </c>
      <c r="C818" s="54" t="s">
        <v>84</v>
      </c>
      <c r="D818" s="53" t="s">
        <v>694</v>
      </c>
    </row>
    <row r="819" spans="1:4" ht="14.4">
      <c r="A819" s="53" t="s">
        <v>1725</v>
      </c>
      <c r="B819" s="53" t="s">
        <v>1726</v>
      </c>
      <c r="C819" s="54" t="s">
        <v>84</v>
      </c>
      <c r="D819" s="53" t="s">
        <v>694</v>
      </c>
    </row>
    <row r="820" spans="1:4" ht="14.4">
      <c r="A820" s="53" t="s">
        <v>1727</v>
      </c>
      <c r="B820" s="53" t="s">
        <v>1728</v>
      </c>
      <c r="C820" s="54" t="s">
        <v>89</v>
      </c>
      <c r="D820" s="53" t="s">
        <v>130</v>
      </c>
    </row>
    <row r="821" spans="1:4" ht="14.4">
      <c r="A821" s="53" t="s">
        <v>1729</v>
      </c>
      <c r="B821" s="53" t="s">
        <v>1730</v>
      </c>
      <c r="C821" s="54" t="s">
        <v>85</v>
      </c>
      <c r="D821" s="53"/>
    </row>
    <row r="822" spans="1:4" ht="14.4">
      <c r="A822" s="53" t="s">
        <v>1731</v>
      </c>
      <c r="B822" s="53" t="s">
        <v>1732</v>
      </c>
      <c r="C822" s="54" t="s">
        <v>85</v>
      </c>
      <c r="D822" s="53"/>
    </row>
    <row r="823" spans="1:4" ht="14.4">
      <c r="A823" s="53" t="s">
        <v>1733</v>
      </c>
      <c r="B823" s="53" t="s">
        <v>1734</v>
      </c>
      <c r="C823" s="54" t="s">
        <v>84</v>
      </c>
      <c r="D823" s="53" t="s">
        <v>207</v>
      </c>
    </row>
    <row r="824" spans="1:4" ht="14.4">
      <c r="A824" s="53" t="s">
        <v>1735</v>
      </c>
      <c r="B824" s="53" t="s">
        <v>1736</v>
      </c>
      <c r="C824" s="54" t="s">
        <v>84</v>
      </c>
      <c r="D824" s="53" t="s">
        <v>207</v>
      </c>
    </row>
    <row r="825" spans="1:4" ht="14.4">
      <c r="A825" s="53" t="s">
        <v>1737</v>
      </c>
      <c r="B825" s="53" t="s">
        <v>1738</v>
      </c>
      <c r="C825" s="54" t="s">
        <v>84</v>
      </c>
      <c r="D825" s="53" t="s">
        <v>207</v>
      </c>
    </row>
    <row r="826" spans="1:4" ht="14.4">
      <c r="A826" s="53" t="s">
        <v>1739</v>
      </c>
      <c r="B826" s="53" t="s">
        <v>1740</v>
      </c>
      <c r="C826" s="54" t="s">
        <v>84</v>
      </c>
      <c r="D826" s="53" t="s">
        <v>207</v>
      </c>
    </row>
    <row r="827" spans="1:4" ht="14.4">
      <c r="A827" s="53" t="s">
        <v>1741</v>
      </c>
      <c r="B827" s="53" t="s">
        <v>1742</v>
      </c>
      <c r="C827" s="54" t="s">
        <v>84</v>
      </c>
      <c r="D827" s="53" t="s">
        <v>268</v>
      </c>
    </row>
    <row r="828" spans="1:4" ht="14.4">
      <c r="A828" s="53" t="s">
        <v>1741</v>
      </c>
      <c r="B828" s="53" t="s">
        <v>1742</v>
      </c>
      <c r="C828" s="54" t="s">
        <v>84</v>
      </c>
      <c r="D828" s="53" t="s">
        <v>268</v>
      </c>
    </row>
    <row r="829" spans="1:4" ht="14.4">
      <c r="A829" s="53" t="s">
        <v>1743</v>
      </c>
      <c r="B829" s="53" t="s">
        <v>1744</v>
      </c>
      <c r="C829" s="54" t="s">
        <v>84</v>
      </c>
      <c r="D829" s="53" t="s">
        <v>268</v>
      </c>
    </row>
    <row r="830" spans="1:4" ht="14.4">
      <c r="A830" s="53" t="s">
        <v>1743</v>
      </c>
      <c r="B830" s="53" t="s">
        <v>1744</v>
      </c>
      <c r="C830" s="54" t="s">
        <v>84</v>
      </c>
      <c r="D830" s="53" t="s">
        <v>268</v>
      </c>
    </row>
    <row r="831" spans="1:4" ht="14.4">
      <c r="A831" s="53" t="s">
        <v>1745</v>
      </c>
      <c r="B831" s="53" t="s">
        <v>1746</v>
      </c>
      <c r="C831" s="54" t="s">
        <v>84</v>
      </c>
      <c r="D831" s="53" t="s">
        <v>268</v>
      </c>
    </row>
    <row r="832" spans="1:4" ht="14.4">
      <c r="A832" s="53" t="s">
        <v>3071</v>
      </c>
      <c r="B832" s="53" t="s">
        <v>3072</v>
      </c>
      <c r="C832" s="54" t="s">
        <v>88</v>
      </c>
      <c r="D832" s="53"/>
    </row>
    <row r="833" spans="1:4" ht="14.4">
      <c r="A833" s="53" t="s">
        <v>1747</v>
      </c>
      <c r="B833" s="53" t="s">
        <v>1748</v>
      </c>
      <c r="C833" s="54" t="s">
        <v>85</v>
      </c>
      <c r="D833" s="53"/>
    </row>
    <row r="834" spans="1:4" ht="14.4">
      <c r="A834" s="53" t="s">
        <v>3104</v>
      </c>
      <c r="B834" s="53" t="s">
        <v>3105</v>
      </c>
      <c r="C834" s="54" t="s">
        <v>85</v>
      </c>
      <c r="D834" s="53"/>
    </row>
    <row r="835" spans="1:4" ht="14.4">
      <c r="A835" s="53" t="s">
        <v>1749</v>
      </c>
      <c r="B835" s="53" t="s">
        <v>1750</v>
      </c>
      <c r="C835" s="54" t="s">
        <v>87</v>
      </c>
      <c r="D835" s="53" t="s">
        <v>318</v>
      </c>
    </row>
    <row r="836" spans="1:4" ht="14.4">
      <c r="A836" s="53" t="s">
        <v>1751</v>
      </c>
      <c r="B836" s="53" t="s">
        <v>1752</v>
      </c>
      <c r="C836" s="54" t="s">
        <v>87</v>
      </c>
      <c r="D836" s="53" t="s">
        <v>318</v>
      </c>
    </row>
    <row r="837" spans="1:4" ht="14.4">
      <c r="A837" s="53" t="s">
        <v>1753</v>
      </c>
      <c r="B837" s="53" t="s">
        <v>1754</v>
      </c>
      <c r="C837" s="54" t="s">
        <v>85</v>
      </c>
      <c r="D837" s="53"/>
    </row>
    <row r="838" spans="1:4" ht="14.4">
      <c r="A838" s="53" t="s">
        <v>1755</v>
      </c>
      <c r="B838" s="53" t="s">
        <v>1756</v>
      </c>
      <c r="C838" s="54" t="s">
        <v>85</v>
      </c>
      <c r="D838" s="53"/>
    </row>
    <row r="839" spans="1:4" ht="14.4">
      <c r="A839" s="53" t="s">
        <v>1757</v>
      </c>
      <c r="B839" s="53" t="s">
        <v>1758</v>
      </c>
      <c r="C839" s="54" t="s">
        <v>88</v>
      </c>
      <c r="D839" s="53"/>
    </row>
    <row r="840" spans="1:4" ht="14.4">
      <c r="A840" s="53" t="s">
        <v>1759</v>
      </c>
      <c r="B840" s="53" t="s">
        <v>1760</v>
      </c>
      <c r="C840" s="54" t="s">
        <v>89</v>
      </c>
      <c r="D840" s="53" t="s">
        <v>387</v>
      </c>
    </row>
    <row r="841" spans="1:4" ht="14.4">
      <c r="A841" s="53" t="s">
        <v>1761</v>
      </c>
      <c r="B841" s="53" t="s">
        <v>1762</v>
      </c>
      <c r="C841" s="54" t="s">
        <v>89</v>
      </c>
      <c r="D841" s="53" t="s">
        <v>288</v>
      </c>
    </row>
    <row r="842" spans="1:4" ht="14.4">
      <c r="A842" s="53" t="s">
        <v>1763</v>
      </c>
      <c r="B842" s="53" t="s">
        <v>1764</v>
      </c>
      <c r="C842" s="54" t="s">
        <v>89</v>
      </c>
      <c r="D842" s="53" t="s">
        <v>288</v>
      </c>
    </row>
    <row r="843" spans="1:4" ht="14.4">
      <c r="A843" s="53" t="s">
        <v>1765</v>
      </c>
      <c r="B843" s="53" t="s">
        <v>1766</v>
      </c>
      <c r="C843" s="54" t="s">
        <v>89</v>
      </c>
      <c r="D843" s="53" t="s">
        <v>288</v>
      </c>
    </row>
    <row r="844" spans="1:4" ht="14.4">
      <c r="A844" s="53" t="s">
        <v>1767</v>
      </c>
      <c r="B844" s="53" t="s">
        <v>1768</v>
      </c>
      <c r="C844" s="54" t="s">
        <v>85</v>
      </c>
      <c r="D844" s="53"/>
    </row>
    <row r="845" spans="1:4" ht="14.4">
      <c r="A845" s="53" t="s">
        <v>1769</v>
      </c>
      <c r="B845" s="53" t="s">
        <v>1770</v>
      </c>
      <c r="C845" s="54" t="s">
        <v>85</v>
      </c>
      <c r="D845" s="53"/>
    </row>
    <row r="846" spans="1:4" ht="14.4">
      <c r="A846" s="53" t="s">
        <v>1771</v>
      </c>
      <c r="B846" s="53" t="s">
        <v>1772</v>
      </c>
      <c r="C846" s="54" t="s">
        <v>85</v>
      </c>
      <c r="D846" s="53"/>
    </row>
    <row r="847" spans="1:4" ht="14.4">
      <c r="A847" s="53" t="s">
        <v>3106</v>
      </c>
      <c r="B847" s="53" t="s">
        <v>3107</v>
      </c>
      <c r="C847" s="54" t="s">
        <v>89</v>
      </c>
      <c r="D847" s="53" t="s">
        <v>288</v>
      </c>
    </row>
    <row r="848" spans="1:4" ht="14.4">
      <c r="A848" s="53" t="s">
        <v>3108</v>
      </c>
      <c r="B848" s="53" t="s">
        <v>3109</v>
      </c>
      <c r="C848" s="54" t="s">
        <v>59</v>
      </c>
      <c r="D848" s="53"/>
    </row>
    <row r="849" spans="1:4" ht="14.4">
      <c r="A849" s="53" t="s">
        <v>1773</v>
      </c>
      <c r="B849" s="53" t="s">
        <v>1774</v>
      </c>
      <c r="C849" s="54" t="s">
        <v>84</v>
      </c>
      <c r="D849" s="53" t="s">
        <v>694</v>
      </c>
    </row>
    <row r="850" spans="1:4" ht="14.4">
      <c r="A850" s="53" t="s">
        <v>3151</v>
      </c>
      <c r="B850" s="53" t="s">
        <v>3110</v>
      </c>
      <c r="C850" s="54" t="s">
        <v>84</v>
      </c>
      <c r="D850" s="53" t="s">
        <v>694</v>
      </c>
    </row>
    <row r="851" spans="1:4" ht="14.4">
      <c r="A851" s="53" t="s">
        <v>1775</v>
      </c>
      <c r="B851" s="53" t="s">
        <v>1776</v>
      </c>
      <c r="C851" s="54" t="s">
        <v>84</v>
      </c>
      <c r="D851" s="53" t="s">
        <v>694</v>
      </c>
    </row>
    <row r="852" spans="1:4" ht="14.4">
      <c r="A852" s="53" t="s">
        <v>1777</v>
      </c>
      <c r="B852" s="53" t="s">
        <v>1778</v>
      </c>
      <c r="C852" s="54" t="s">
        <v>84</v>
      </c>
      <c r="D852" s="53" t="s">
        <v>694</v>
      </c>
    </row>
    <row r="853" spans="1:4" ht="14.4">
      <c r="A853" s="53" t="s">
        <v>1779</v>
      </c>
      <c r="B853" s="53" t="s">
        <v>1780</v>
      </c>
      <c r="C853" s="54" t="s">
        <v>84</v>
      </c>
      <c r="D853" s="53" t="s">
        <v>694</v>
      </c>
    </row>
    <row r="854" spans="1:4" ht="14.4">
      <c r="A854" s="53" t="s">
        <v>1781</v>
      </c>
      <c r="B854" s="53" t="s">
        <v>1782</v>
      </c>
      <c r="C854" s="54" t="s">
        <v>89</v>
      </c>
      <c r="D854" s="53" t="s">
        <v>288</v>
      </c>
    </row>
    <row r="855" spans="1:4" ht="14.4">
      <c r="A855" s="53" t="s">
        <v>1783</v>
      </c>
      <c r="B855" s="53" t="s">
        <v>1784</v>
      </c>
      <c r="C855" s="54" t="s">
        <v>89</v>
      </c>
      <c r="D855" s="53" t="s">
        <v>288</v>
      </c>
    </row>
    <row r="856" spans="1:4" ht="14.4">
      <c r="A856" s="53" t="s">
        <v>1785</v>
      </c>
      <c r="B856" s="53" t="s">
        <v>1786</v>
      </c>
      <c r="C856" s="54" t="s">
        <v>89</v>
      </c>
      <c r="D856" s="53" t="s">
        <v>288</v>
      </c>
    </row>
    <row r="857" spans="1:4" ht="14.4">
      <c r="A857" s="53" t="s">
        <v>1787</v>
      </c>
      <c r="B857" s="53" t="s">
        <v>1788</v>
      </c>
      <c r="C857" s="54" t="s">
        <v>87</v>
      </c>
      <c r="D857" s="53" t="s">
        <v>256</v>
      </c>
    </row>
    <row r="858" spans="1:4" ht="14.4">
      <c r="A858" s="53" t="s">
        <v>1789</v>
      </c>
      <c r="B858" s="53" t="s">
        <v>1790</v>
      </c>
      <c r="C858" s="54" t="s">
        <v>87</v>
      </c>
      <c r="D858" s="53" t="s">
        <v>256</v>
      </c>
    </row>
    <row r="859" spans="1:4" ht="14.4">
      <c r="A859" s="53" t="s">
        <v>1791</v>
      </c>
      <c r="B859" s="53" t="s">
        <v>1792</v>
      </c>
      <c r="C859" s="54" t="s">
        <v>87</v>
      </c>
      <c r="D859" s="53" t="s">
        <v>256</v>
      </c>
    </row>
    <row r="860" spans="1:4" ht="14.4">
      <c r="A860" s="53" t="s">
        <v>1793</v>
      </c>
      <c r="B860" s="53" t="s">
        <v>1794</v>
      </c>
      <c r="C860" s="54" t="s">
        <v>87</v>
      </c>
      <c r="D860" s="53" t="s">
        <v>256</v>
      </c>
    </row>
    <row r="861" spans="1:4" ht="14.4">
      <c r="A861" s="53" t="s">
        <v>1795</v>
      </c>
      <c r="B861" s="53" t="s">
        <v>1796</v>
      </c>
      <c r="C861" s="54" t="s">
        <v>87</v>
      </c>
      <c r="D861" s="53" t="s">
        <v>256</v>
      </c>
    </row>
    <row r="862" spans="1:4" ht="14.4">
      <c r="A862" s="53" t="s">
        <v>1797</v>
      </c>
      <c r="B862" s="53" t="s">
        <v>1798</v>
      </c>
      <c r="C862" s="54" t="s">
        <v>87</v>
      </c>
      <c r="D862" s="53" t="s">
        <v>256</v>
      </c>
    </row>
    <row r="863" spans="1:4" ht="14.4">
      <c r="A863" s="53" t="s">
        <v>1799</v>
      </c>
      <c r="B863" s="53" t="s">
        <v>1800</v>
      </c>
      <c r="C863" s="54" t="s">
        <v>87</v>
      </c>
      <c r="D863" s="53" t="s">
        <v>256</v>
      </c>
    </row>
    <row r="864" spans="1:4" ht="14.4">
      <c r="A864" s="53" t="s">
        <v>3111</v>
      </c>
      <c r="B864" s="53" t="s">
        <v>3113</v>
      </c>
      <c r="C864" s="54" t="s">
        <v>88</v>
      </c>
      <c r="D864" s="53"/>
    </row>
    <row r="865" spans="1:4" ht="14.4">
      <c r="A865" s="53" t="s">
        <v>3112</v>
      </c>
      <c r="B865" s="53" t="s">
        <v>3114</v>
      </c>
      <c r="C865" s="54" t="s">
        <v>87</v>
      </c>
      <c r="D865" s="53" t="s">
        <v>256</v>
      </c>
    </row>
    <row r="866" spans="1:4" ht="14.4">
      <c r="A866" s="53" t="s">
        <v>1801</v>
      </c>
      <c r="B866" s="53" t="s">
        <v>1802</v>
      </c>
      <c r="C866" s="54" t="s">
        <v>87</v>
      </c>
      <c r="D866" s="53" t="s">
        <v>256</v>
      </c>
    </row>
    <row r="867" spans="1:4" ht="14.4">
      <c r="A867" s="53" t="s">
        <v>1803</v>
      </c>
      <c r="B867" s="53" t="s">
        <v>1804</v>
      </c>
      <c r="C867" s="54" t="s">
        <v>89</v>
      </c>
      <c r="D867" s="53" t="s">
        <v>130</v>
      </c>
    </row>
    <row r="868" spans="1:4" ht="14.4">
      <c r="A868" s="53" t="s">
        <v>1805</v>
      </c>
      <c r="B868" s="53" t="s">
        <v>1806</v>
      </c>
      <c r="C868" s="54" t="s">
        <v>90</v>
      </c>
      <c r="D868" s="53"/>
    </row>
    <row r="869" spans="1:4" ht="14.4">
      <c r="A869" s="53" t="s">
        <v>1807</v>
      </c>
      <c r="B869" s="53" t="s">
        <v>1808</v>
      </c>
      <c r="C869" s="54" t="s">
        <v>89</v>
      </c>
      <c r="D869" s="53" t="s">
        <v>288</v>
      </c>
    </row>
    <row r="870" spans="1:4" ht="14.4">
      <c r="A870" s="53" t="s">
        <v>1809</v>
      </c>
      <c r="B870" s="53" t="s">
        <v>1810</v>
      </c>
      <c r="C870" s="54" t="s">
        <v>87</v>
      </c>
      <c r="D870" s="53" t="s">
        <v>256</v>
      </c>
    </row>
    <row r="871" spans="1:4" ht="14.4">
      <c r="A871" s="53" t="s">
        <v>1811</v>
      </c>
      <c r="B871" s="53" t="s">
        <v>1812</v>
      </c>
      <c r="C871" s="54" t="s">
        <v>87</v>
      </c>
      <c r="D871" s="53" t="s">
        <v>256</v>
      </c>
    </row>
    <row r="872" spans="1:4" ht="14.4">
      <c r="A872" s="53" t="s">
        <v>1813</v>
      </c>
      <c r="B872" s="53" t="s">
        <v>1814</v>
      </c>
      <c r="C872" s="54" t="s">
        <v>87</v>
      </c>
      <c r="D872" s="53" t="s">
        <v>256</v>
      </c>
    </row>
    <row r="873" spans="1:4" ht="14.4">
      <c r="A873" s="53" t="s">
        <v>1815</v>
      </c>
      <c r="B873" s="53" t="s">
        <v>1816</v>
      </c>
      <c r="C873" s="54" t="s">
        <v>87</v>
      </c>
      <c r="D873" s="53" t="s">
        <v>256</v>
      </c>
    </row>
    <row r="874" spans="1:4" ht="14.4">
      <c r="A874" s="53" t="s">
        <v>1817</v>
      </c>
      <c r="B874" s="53" t="s">
        <v>1818</v>
      </c>
      <c r="C874" s="54" t="s">
        <v>87</v>
      </c>
      <c r="D874" s="53" t="s">
        <v>256</v>
      </c>
    </row>
    <row r="875" spans="1:4" ht="14.4">
      <c r="A875" s="53" t="s">
        <v>1819</v>
      </c>
      <c r="B875" s="53" t="s">
        <v>1820</v>
      </c>
      <c r="C875" s="54" t="s">
        <v>87</v>
      </c>
      <c r="D875" s="53" t="s">
        <v>256</v>
      </c>
    </row>
    <row r="876" spans="1:4" ht="14.4">
      <c r="A876" s="53" t="s">
        <v>1821</v>
      </c>
      <c r="B876" s="53" t="s">
        <v>1822</v>
      </c>
      <c r="C876" s="54" t="s">
        <v>87</v>
      </c>
      <c r="D876" s="53" t="s">
        <v>256</v>
      </c>
    </row>
    <row r="877" spans="1:4" ht="14.4">
      <c r="A877" s="53" t="s">
        <v>1823</v>
      </c>
      <c r="B877" s="53" t="s">
        <v>1824</v>
      </c>
      <c r="C877" s="54" t="s">
        <v>88</v>
      </c>
      <c r="D877" s="53"/>
    </row>
    <row r="878" spans="1:4" ht="14.4">
      <c r="A878" s="53" t="s">
        <v>1825</v>
      </c>
      <c r="B878" s="53" t="s">
        <v>1826</v>
      </c>
      <c r="C878" s="54" t="s">
        <v>88</v>
      </c>
      <c r="D878" s="53"/>
    </row>
    <row r="879" spans="1:4" ht="14.4">
      <c r="A879" s="53" t="s">
        <v>1827</v>
      </c>
      <c r="B879" s="53" t="s">
        <v>1828</v>
      </c>
      <c r="C879" s="54" t="s">
        <v>88</v>
      </c>
      <c r="D879" s="53"/>
    </row>
    <row r="880" spans="1:4" ht="14.4">
      <c r="A880" s="53" t="s">
        <v>1829</v>
      </c>
      <c r="B880" s="53" t="s">
        <v>1830</v>
      </c>
      <c r="C880" s="54" t="s">
        <v>85</v>
      </c>
      <c r="D880" s="53"/>
    </row>
    <row r="881" spans="1:4" ht="14.4">
      <c r="A881" s="53" t="s">
        <v>1831</v>
      </c>
      <c r="B881" s="53" t="s">
        <v>1832</v>
      </c>
      <c r="C881" s="54" t="s">
        <v>85</v>
      </c>
      <c r="D881" s="53"/>
    </row>
    <row r="882" spans="1:4" ht="14.4">
      <c r="A882" s="53" t="s">
        <v>1833</v>
      </c>
      <c r="B882" s="53" t="s">
        <v>1834</v>
      </c>
      <c r="C882" s="54" t="s">
        <v>85</v>
      </c>
      <c r="D882" s="53"/>
    </row>
    <row r="883" spans="1:4" ht="14.4">
      <c r="A883" s="53" t="s">
        <v>1835</v>
      </c>
      <c r="B883" s="53" t="s">
        <v>1836</v>
      </c>
      <c r="C883" s="54" t="s">
        <v>89</v>
      </c>
      <c r="D883" s="53" t="s">
        <v>265</v>
      </c>
    </row>
    <row r="884" spans="1:4" ht="14.4">
      <c r="A884" s="53" t="s">
        <v>1837</v>
      </c>
      <c r="B884" s="53" t="s">
        <v>1838</v>
      </c>
      <c r="C884" s="54" t="s">
        <v>89</v>
      </c>
      <c r="D884" s="53" t="s">
        <v>288</v>
      </c>
    </row>
    <row r="885" spans="1:4" ht="14.4">
      <c r="A885" s="53" t="s">
        <v>1839</v>
      </c>
      <c r="B885" s="53" t="s">
        <v>1840</v>
      </c>
      <c r="C885" s="54" t="s">
        <v>85</v>
      </c>
      <c r="D885" s="53"/>
    </row>
    <row r="886" spans="1:4" ht="14.4">
      <c r="A886" s="53" t="s">
        <v>1841</v>
      </c>
      <c r="B886" s="53" t="s">
        <v>1842</v>
      </c>
      <c r="C886" s="54" t="s">
        <v>85</v>
      </c>
      <c r="D886" s="53"/>
    </row>
    <row r="887" spans="1:4" ht="14.4">
      <c r="A887" s="53" t="s">
        <v>1843</v>
      </c>
      <c r="B887" s="53" t="s">
        <v>1844</v>
      </c>
      <c r="C887" s="54" t="s">
        <v>87</v>
      </c>
      <c r="D887" s="53" t="s">
        <v>256</v>
      </c>
    </row>
    <row r="888" spans="1:4" ht="14.4">
      <c r="A888" s="53" t="s">
        <v>3116</v>
      </c>
      <c r="B888" s="53" t="s">
        <v>3115</v>
      </c>
      <c r="C888" s="54" t="s">
        <v>85</v>
      </c>
      <c r="D888" s="53"/>
    </row>
    <row r="889" spans="1:4" ht="14.4">
      <c r="A889" s="53" t="s">
        <v>1845</v>
      </c>
      <c r="B889" s="53" t="s">
        <v>1846</v>
      </c>
      <c r="C889" s="54" t="s">
        <v>89</v>
      </c>
      <c r="D889" s="53" t="s">
        <v>288</v>
      </c>
    </row>
    <row r="890" spans="1:4" ht="14.4">
      <c r="A890" s="53" t="s">
        <v>1847</v>
      </c>
      <c r="B890" s="53" t="s">
        <v>1848</v>
      </c>
      <c r="C890" s="54" t="s">
        <v>85</v>
      </c>
      <c r="D890" s="53"/>
    </row>
    <row r="891" spans="1:4" ht="14.4">
      <c r="A891" s="53" t="s">
        <v>1849</v>
      </c>
      <c r="B891" s="53" t="s">
        <v>1850</v>
      </c>
      <c r="C891" s="54" t="s">
        <v>85</v>
      </c>
      <c r="D891" s="53"/>
    </row>
    <row r="892" spans="1:4" ht="14.4">
      <c r="A892" s="53" t="s">
        <v>1851</v>
      </c>
      <c r="B892" s="53" t="s">
        <v>1852</v>
      </c>
      <c r="C892" s="54" t="s">
        <v>85</v>
      </c>
      <c r="D892" s="53"/>
    </row>
    <row r="893" spans="1:4" ht="14.4">
      <c r="A893" s="53" t="s">
        <v>1853</v>
      </c>
      <c r="B893" s="53" t="s">
        <v>1854</v>
      </c>
      <c r="C893" s="54" t="s">
        <v>85</v>
      </c>
      <c r="D893" s="53"/>
    </row>
    <row r="894" spans="1:4" ht="14.4">
      <c r="A894" s="53" t="s">
        <v>1855</v>
      </c>
      <c r="B894" s="53" t="s">
        <v>1856</v>
      </c>
      <c r="C894" s="54" t="s">
        <v>87</v>
      </c>
      <c r="D894" s="53" t="s">
        <v>1381</v>
      </c>
    </row>
    <row r="895" spans="1:4" ht="14.4">
      <c r="A895" s="53" t="s">
        <v>1857</v>
      </c>
      <c r="B895" s="53" t="s">
        <v>1858</v>
      </c>
      <c r="C895" s="54" t="s">
        <v>87</v>
      </c>
      <c r="D895" s="53" t="s">
        <v>1381</v>
      </c>
    </row>
    <row r="896" spans="1:4" ht="14.4">
      <c r="A896" s="53" t="s">
        <v>1859</v>
      </c>
      <c r="B896" s="53" t="s">
        <v>1860</v>
      </c>
      <c r="C896" s="54" t="s">
        <v>87</v>
      </c>
      <c r="D896" s="53" t="s">
        <v>1381</v>
      </c>
    </row>
    <row r="897" spans="1:4" ht="14.4">
      <c r="A897" s="53" t="s">
        <v>1861</v>
      </c>
      <c r="B897" s="53" t="s">
        <v>1862</v>
      </c>
      <c r="C897" s="54" t="s">
        <v>87</v>
      </c>
      <c r="D897" s="53" t="s">
        <v>1381</v>
      </c>
    </row>
    <row r="898" spans="1:4" ht="14.4">
      <c r="A898" s="53" t="s">
        <v>1863</v>
      </c>
      <c r="B898" s="53" t="s">
        <v>1864</v>
      </c>
      <c r="C898" s="54" t="s">
        <v>87</v>
      </c>
      <c r="D898" s="53" t="s">
        <v>1381</v>
      </c>
    </row>
    <row r="899" spans="1:4" ht="14.4">
      <c r="A899" s="53" t="s">
        <v>1865</v>
      </c>
      <c r="B899" s="53" t="s">
        <v>1866</v>
      </c>
      <c r="C899" s="54" t="s">
        <v>87</v>
      </c>
      <c r="D899" s="53" t="s">
        <v>1381</v>
      </c>
    </row>
    <row r="900" spans="1:4" ht="14.4">
      <c r="A900" s="53" t="s">
        <v>1867</v>
      </c>
      <c r="B900" s="53" t="s">
        <v>1868</v>
      </c>
      <c r="C900" s="54" t="s">
        <v>87</v>
      </c>
      <c r="D900" s="53" t="s">
        <v>1381</v>
      </c>
    </row>
    <row r="901" spans="1:4" ht="14.4">
      <c r="A901" s="53" t="s">
        <v>1869</v>
      </c>
      <c r="B901" s="53" t="s">
        <v>1870</v>
      </c>
      <c r="C901" s="54" t="s">
        <v>87</v>
      </c>
      <c r="D901" s="53" t="s">
        <v>1381</v>
      </c>
    </row>
    <row r="902" spans="1:4" ht="14.4">
      <c r="A902" s="53" t="s">
        <v>1871</v>
      </c>
      <c r="B902" s="53" t="s">
        <v>1872</v>
      </c>
      <c r="C902" s="54" t="s">
        <v>87</v>
      </c>
      <c r="D902" s="53" t="s">
        <v>1381</v>
      </c>
    </row>
    <row r="903" spans="1:4" ht="14.4">
      <c r="A903" s="53" t="s">
        <v>1873</v>
      </c>
      <c r="B903" s="53" t="s">
        <v>1874</v>
      </c>
      <c r="C903" s="54" t="s">
        <v>87</v>
      </c>
      <c r="D903" s="53" t="s">
        <v>1381</v>
      </c>
    </row>
    <row r="904" spans="1:4" ht="14.4">
      <c r="A904" s="53" t="s">
        <v>1875</v>
      </c>
      <c r="B904" s="53" t="s">
        <v>1876</v>
      </c>
      <c r="C904" s="54" t="s">
        <v>87</v>
      </c>
      <c r="D904" s="53" t="s">
        <v>1381</v>
      </c>
    </row>
    <row r="905" spans="1:4" ht="14.4">
      <c r="A905" s="53" t="s">
        <v>1877</v>
      </c>
      <c r="B905" s="53" t="s">
        <v>1878</v>
      </c>
      <c r="C905" s="54" t="s">
        <v>87</v>
      </c>
      <c r="D905" s="53" t="s">
        <v>1381</v>
      </c>
    </row>
    <row r="906" spans="1:4" ht="14.4">
      <c r="A906" s="53" t="s">
        <v>1879</v>
      </c>
      <c r="B906" s="53" t="s">
        <v>1880</v>
      </c>
      <c r="C906" s="54" t="s">
        <v>87</v>
      </c>
      <c r="D906" s="53" t="s">
        <v>1381</v>
      </c>
    </row>
    <row r="907" spans="1:4" ht="14.4">
      <c r="A907" s="53" t="s">
        <v>1881</v>
      </c>
      <c r="B907" s="53" t="s">
        <v>1882</v>
      </c>
      <c r="C907" s="54" t="s">
        <v>87</v>
      </c>
      <c r="D907" s="53" t="s">
        <v>1381</v>
      </c>
    </row>
    <row r="908" spans="1:4" ht="14.4">
      <c r="A908" s="53" t="s">
        <v>1883</v>
      </c>
      <c r="B908" s="53" t="s">
        <v>1884</v>
      </c>
      <c r="C908" s="54" t="s">
        <v>87</v>
      </c>
      <c r="D908" s="53" t="s">
        <v>1381</v>
      </c>
    </row>
    <row r="909" spans="1:4" ht="14.4">
      <c r="A909" s="53" t="s">
        <v>1885</v>
      </c>
      <c r="B909" s="53" t="s">
        <v>1886</v>
      </c>
      <c r="C909" s="54" t="s">
        <v>89</v>
      </c>
      <c r="D909" s="53" t="s">
        <v>288</v>
      </c>
    </row>
    <row r="910" spans="1:4" ht="14.4">
      <c r="A910" s="53" t="s">
        <v>1887</v>
      </c>
      <c r="B910" s="53" t="s">
        <v>1888</v>
      </c>
      <c r="C910" s="54" t="s">
        <v>85</v>
      </c>
      <c r="D910" s="53"/>
    </row>
    <row r="911" spans="1:4" ht="14.4">
      <c r="A911" s="53" t="s">
        <v>1889</v>
      </c>
      <c r="B911" s="53" t="s">
        <v>1890</v>
      </c>
      <c r="C911" s="54" t="s">
        <v>89</v>
      </c>
      <c r="D911" s="53" t="s">
        <v>288</v>
      </c>
    </row>
    <row r="912" spans="1:4" ht="14.4">
      <c r="A912" s="53" t="s">
        <v>1891</v>
      </c>
      <c r="B912" s="53" t="s">
        <v>1892</v>
      </c>
      <c r="C912" s="54" t="s">
        <v>85</v>
      </c>
      <c r="D912" s="53"/>
    </row>
    <row r="913" spans="1:4" ht="14.4">
      <c r="A913" s="53" t="s">
        <v>1893</v>
      </c>
      <c r="B913" s="53" t="s">
        <v>1894</v>
      </c>
      <c r="C913" s="54" t="s">
        <v>85</v>
      </c>
      <c r="D913" s="53"/>
    </row>
    <row r="914" spans="1:4" ht="14.4">
      <c r="A914" s="53" t="s">
        <v>1895</v>
      </c>
      <c r="B914" s="53" t="s">
        <v>1896</v>
      </c>
      <c r="C914" s="54" t="s">
        <v>87</v>
      </c>
      <c r="D914" s="53" t="s">
        <v>318</v>
      </c>
    </row>
    <row r="915" spans="1:4" ht="14.4">
      <c r="A915" s="53" t="s">
        <v>1897</v>
      </c>
      <c r="B915" s="53" t="s">
        <v>1898</v>
      </c>
      <c r="C915" s="54" t="s">
        <v>87</v>
      </c>
      <c r="D915" s="53" t="s">
        <v>1381</v>
      </c>
    </row>
    <row r="916" spans="1:4" ht="14.4">
      <c r="A916" s="53" t="s">
        <v>1899</v>
      </c>
      <c r="B916" s="53" t="s">
        <v>1900</v>
      </c>
      <c r="C916" s="54" t="s">
        <v>87</v>
      </c>
      <c r="D916" s="53" t="s">
        <v>1381</v>
      </c>
    </row>
    <row r="917" spans="1:4" ht="14.4">
      <c r="A917" s="53" t="s">
        <v>1901</v>
      </c>
      <c r="B917" s="53" t="s">
        <v>1902</v>
      </c>
      <c r="C917" s="54" t="s">
        <v>87</v>
      </c>
      <c r="D917" s="53" t="s">
        <v>1381</v>
      </c>
    </row>
    <row r="918" spans="1:4" ht="14.4">
      <c r="A918" s="53" t="s">
        <v>1903</v>
      </c>
      <c r="B918" s="53" t="s">
        <v>1904</v>
      </c>
      <c r="C918" s="54" t="s">
        <v>87</v>
      </c>
      <c r="D918" s="53" t="s">
        <v>1381</v>
      </c>
    </row>
    <row r="919" spans="1:4" ht="14.4">
      <c r="A919" s="53" t="s">
        <v>1905</v>
      </c>
      <c r="B919" s="53" t="s">
        <v>1906</v>
      </c>
      <c r="C919" s="54" t="s">
        <v>85</v>
      </c>
      <c r="D919" s="53"/>
    </row>
    <row r="920" spans="1:4" ht="14.4">
      <c r="A920" s="53" t="s">
        <v>1907</v>
      </c>
      <c r="B920" s="53" t="s">
        <v>1908</v>
      </c>
      <c r="C920" s="54" t="s">
        <v>88</v>
      </c>
      <c r="D920" s="53"/>
    </row>
    <row r="921" spans="1:4" ht="14.4">
      <c r="A921" s="53" t="s">
        <v>3117</v>
      </c>
      <c r="B921" s="53" t="s">
        <v>3118</v>
      </c>
      <c r="C921" s="54" t="s">
        <v>88</v>
      </c>
      <c r="D921" s="53"/>
    </row>
    <row r="922" spans="1:4" ht="14.4">
      <c r="A922" s="53" t="s">
        <v>1909</v>
      </c>
      <c r="B922" s="53" t="s">
        <v>1910</v>
      </c>
      <c r="C922" s="54" t="s">
        <v>89</v>
      </c>
      <c r="D922" s="53" t="s">
        <v>288</v>
      </c>
    </row>
    <row r="923" spans="1:4" ht="14.4">
      <c r="A923" s="53" t="s">
        <v>1911</v>
      </c>
      <c r="B923" s="53" t="s">
        <v>1912</v>
      </c>
      <c r="C923" s="54" t="s">
        <v>85</v>
      </c>
      <c r="D923" s="53"/>
    </row>
    <row r="924" spans="1:4" ht="14.4">
      <c r="A924" s="53" t="s">
        <v>1913</v>
      </c>
      <c r="B924" s="53" t="s">
        <v>1914</v>
      </c>
      <c r="C924" s="54" t="s">
        <v>85</v>
      </c>
      <c r="D924" s="53"/>
    </row>
    <row r="925" spans="1:4" ht="14.4">
      <c r="A925" s="53" t="s">
        <v>1915</v>
      </c>
      <c r="B925" s="53" t="s">
        <v>1916</v>
      </c>
      <c r="C925" s="54" t="s">
        <v>84</v>
      </c>
      <c r="D925" s="53" t="s">
        <v>241</v>
      </c>
    </row>
    <row r="926" spans="1:4" ht="14.4">
      <c r="A926" s="53" t="s">
        <v>1917</v>
      </c>
      <c r="B926" s="53" t="s">
        <v>1918</v>
      </c>
      <c r="C926" s="54" t="s">
        <v>89</v>
      </c>
      <c r="D926" s="53" t="s">
        <v>288</v>
      </c>
    </row>
    <row r="927" spans="1:4" ht="14.4">
      <c r="A927" s="53" t="s">
        <v>1920</v>
      </c>
      <c r="B927" s="53" t="s">
        <v>1921</v>
      </c>
      <c r="C927" s="54" t="s">
        <v>87</v>
      </c>
      <c r="D927" s="53" t="s">
        <v>1919</v>
      </c>
    </row>
    <row r="928" spans="1:4" ht="14.4">
      <c r="A928" s="53" t="s">
        <v>1922</v>
      </c>
      <c r="B928" s="53" t="s">
        <v>1923</v>
      </c>
      <c r="C928" s="54" t="s">
        <v>87</v>
      </c>
      <c r="D928" s="53" t="s">
        <v>1919</v>
      </c>
    </row>
    <row r="929" spans="1:4" ht="14.4">
      <c r="A929" s="53" t="s">
        <v>1924</v>
      </c>
      <c r="B929" s="53" t="s">
        <v>1925</v>
      </c>
      <c r="C929" s="54" t="s">
        <v>87</v>
      </c>
      <c r="D929" s="53" t="s">
        <v>256</v>
      </c>
    </row>
    <row r="930" spans="1:4" ht="14.4">
      <c r="A930" s="53" t="s">
        <v>1926</v>
      </c>
      <c r="B930" s="53" t="s">
        <v>1927</v>
      </c>
      <c r="C930" s="54" t="s">
        <v>87</v>
      </c>
      <c r="D930" s="53" t="s">
        <v>256</v>
      </c>
    </row>
    <row r="931" spans="1:4" ht="14.4">
      <c r="A931" s="53" t="s">
        <v>1928</v>
      </c>
      <c r="B931" s="53" t="s">
        <v>1929</v>
      </c>
      <c r="C931" s="54" t="s">
        <v>87</v>
      </c>
      <c r="D931" s="53" t="s">
        <v>256</v>
      </c>
    </row>
    <row r="932" spans="1:4" ht="14.4">
      <c r="A932" s="53" t="s">
        <v>1930</v>
      </c>
      <c r="B932" s="53" t="s">
        <v>1931</v>
      </c>
      <c r="C932" s="54" t="s">
        <v>87</v>
      </c>
      <c r="D932" s="53" t="s">
        <v>256</v>
      </c>
    </row>
    <row r="933" spans="1:4" ht="14.4">
      <c r="A933" s="53" t="s">
        <v>1932</v>
      </c>
      <c r="B933" s="53" t="s">
        <v>1933</v>
      </c>
      <c r="C933" s="54" t="s">
        <v>87</v>
      </c>
      <c r="D933" s="53" t="s">
        <v>256</v>
      </c>
    </row>
    <row r="934" spans="1:4" ht="14.4">
      <c r="A934" s="53" t="s">
        <v>1934</v>
      </c>
      <c r="B934" s="53" t="s">
        <v>1935</v>
      </c>
      <c r="C934" s="54" t="s">
        <v>88</v>
      </c>
      <c r="D934" s="53"/>
    </row>
    <row r="935" spans="1:4" ht="14.4">
      <c r="A935" s="53" t="s">
        <v>1936</v>
      </c>
      <c r="B935" s="53" t="s">
        <v>1937</v>
      </c>
      <c r="C935" s="54" t="s">
        <v>89</v>
      </c>
      <c r="D935" s="53" t="s">
        <v>288</v>
      </c>
    </row>
    <row r="936" spans="1:4" ht="14.4">
      <c r="A936" s="53" t="s">
        <v>1938</v>
      </c>
      <c r="B936" s="53" t="s">
        <v>1939</v>
      </c>
      <c r="C936" s="54" t="s">
        <v>88</v>
      </c>
      <c r="D936" s="53"/>
    </row>
    <row r="937" spans="1:4" ht="14.4">
      <c r="A937" s="53" t="s">
        <v>1940</v>
      </c>
      <c r="B937" s="53" t="s">
        <v>1941</v>
      </c>
      <c r="C937" s="54" t="s">
        <v>88</v>
      </c>
      <c r="D937" s="53"/>
    </row>
    <row r="938" spans="1:4" ht="14.4">
      <c r="A938" s="53" t="s">
        <v>1942</v>
      </c>
      <c r="B938" s="53" t="s">
        <v>1943</v>
      </c>
      <c r="C938" s="54" t="s">
        <v>89</v>
      </c>
      <c r="D938" s="53" t="s">
        <v>288</v>
      </c>
    </row>
    <row r="939" spans="1:4" ht="14.4">
      <c r="A939" s="53" t="s">
        <v>1944</v>
      </c>
      <c r="B939" s="53" t="s">
        <v>1945</v>
      </c>
      <c r="C939" s="54" t="s">
        <v>59</v>
      </c>
      <c r="D939" s="53"/>
    </row>
    <row r="940" spans="1:4" ht="14.4">
      <c r="A940" s="53" t="s">
        <v>1946</v>
      </c>
      <c r="B940" s="53" t="s">
        <v>1947</v>
      </c>
      <c r="C940" s="54" t="s">
        <v>88</v>
      </c>
      <c r="D940" s="53"/>
    </row>
    <row r="941" spans="1:4" ht="14.4">
      <c r="A941" s="53" t="s">
        <v>1948</v>
      </c>
      <c r="B941" s="53" t="s">
        <v>1949</v>
      </c>
      <c r="C941" s="54" t="s">
        <v>87</v>
      </c>
      <c r="D941" s="53" t="s">
        <v>256</v>
      </c>
    </row>
    <row r="942" spans="1:4" ht="14.4">
      <c r="A942" s="53" t="s">
        <v>1950</v>
      </c>
      <c r="B942" s="53" t="s">
        <v>1951</v>
      </c>
      <c r="C942" s="54" t="s">
        <v>87</v>
      </c>
      <c r="D942" s="53" t="s">
        <v>256</v>
      </c>
    </row>
    <row r="943" spans="1:4" ht="14.4">
      <c r="A943" s="53" t="s">
        <v>1952</v>
      </c>
      <c r="B943" s="53" t="s">
        <v>1953</v>
      </c>
      <c r="C943" s="54" t="s">
        <v>87</v>
      </c>
      <c r="D943" s="53" t="s">
        <v>256</v>
      </c>
    </row>
    <row r="944" spans="1:4" ht="14.4">
      <c r="A944" s="53" t="s">
        <v>1954</v>
      </c>
      <c r="B944" s="53" t="s">
        <v>1955</v>
      </c>
      <c r="C944" s="54" t="s">
        <v>87</v>
      </c>
      <c r="D944" s="53" t="s">
        <v>256</v>
      </c>
    </row>
    <row r="945" spans="1:4" ht="14.4">
      <c r="A945" s="53" t="s">
        <v>1956</v>
      </c>
      <c r="B945" s="53" t="s">
        <v>1957</v>
      </c>
      <c r="C945" s="54" t="s">
        <v>87</v>
      </c>
      <c r="D945" s="53" t="s">
        <v>789</v>
      </c>
    </row>
    <row r="946" spans="1:4" ht="14.4">
      <c r="A946" s="53" t="s">
        <v>1958</v>
      </c>
      <c r="B946" s="53" t="s">
        <v>1959</v>
      </c>
      <c r="C946" s="54" t="s">
        <v>87</v>
      </c>
      <c r="D946" s="53" t="s">
        <v>789</v>
      </c>
    </row>
    <row r="947" spans="1:4" ht="14.4">
      <c r="A947" s="53" t="s">
        <v>1960</v>
      </c>
      <c r="B947" s="53" t="s">
        <v>1961</v>
      </c>
      <c r="C947" s="54" t="s">
        <v>87</v>
      </c>
      <c r="D947" s="53" t="s">
        <v>789</v>
      </c>
    </row>
    <row r="948" spans="1:4" ht="14.4">
      <c r="A948" s="53" t="s">
        <v>1962</v>
      </c>
      <c r="B948" s="53" t="s">
        <v>1963</v>
      </c>
      <c r="C948" s="54" t="s">
        <v>85</v>
      </c>
      <c r="D948" s="53"/>
    </row>
    <row r="949" spans="1:4" ht="14.4">
      <c r="A949" s="53" t="s">
        <v>1964</v>
      </c>
      <c r="B949" s="53" t="s">
        <v>1965</v>
      </c>
      <c r="C949" s="54" t="s">
        <v>85</v>
      </c>
      <c r="D949" s="53"/>
    </row>
    <row r="950" spans="1:4" ht="14.4">
      <c r="A950" s="53" t="s">
        <v>1966</v>
      </c>
      <c r="B950" s="53" t="s">
        <v>1967</v>
      </c>
      <c r="C950" s="54" t="s">
        <v>85</v>
      </c>
      <c r="D950" s="53"/>
    </row>
    <row r="951" spans="1:4" ht="14.4">
      <c r="A951" s="53" t="s">
        <v>1968</v>
      </c>
      <c r="B951" s="53" t="s">
        <v>1969</v>
      </c>
      <c r="C951" s="54" t="s">
        <v>85</v>
      </c>
      <c r="D951" s="53"/>
    </row>
    <row r="952" spans="1:4" ht="14.4">
      <c r="A952" s="53" t="s">
        <v>1970</v>
      </c>
      <c r="B952" s="53" t="s">
        <v>1971</v>
      </c>
      <c r="C952" s="54" t="s">
        <v>85</v>
      </c>
      <c r="D952" s="53"/>
    </row>
    <row r="953" spans="1:4" ht="14.4">
      <c r="A953" s="53" t="s">
        <v>1972</v>
      </c>
      <c r="B953" s="53" t="s">
        <v>1973</v>
      </c>
      <c r="C953" s="54" t="s">
        <v>85</v>
      </c>
      <c r="D953" s="53"/>
    </row>
    <row r="954" spans="1:4" ht="14.4">
      <c r="A954" s="53" t="s">
        <v>1974</v>
      </c>
      <c r="B954" s="53" t="s">
        <v>1975</v>
      </c>
      <c r="C954" s="54" t="s">
        <v>88</v>
      </c>
      <c r="D954" s="53"/>
    </row>
    <row r="955" spans="1:4" ht="14.4">
      <c r="A955" s="53" t="s">
        <v>1976</v>
      </c>
      <c r="B955" s="53" t="s">
        <v>1977</v>
      </c>
      <c r="C955" s="54" t="s">
        <v>59</v>
      </c>
      <c r="D955" s="53"/>
    </row>
    <row r="956" spans="1:4" ht="14.4">
      <c r="A956" s="53" t="s">
        <v>1978</v>
      </c>
      <c r="B956" s="53" t="s">
        <v>1979</v>
      </c>
      <c r="C956" s="54" t="s">
        <v>85</v>
      </c>
      <c r="D956" s="53"/>
    </row>
    <row r="957" spans="1:4" ht="14.4">
      <c r="A957" s="53" t="s">
        <v>1980</v>
      </c>
      <c r="B957" s="53" t="s">
        <v>1981</v>
      </c>
      <c r="C957" s="54" t="s">
        <v>84</v>
      </c>
      <c r="D957" s="53" t="s">
        <v>207</v>
      </c>
    </row>
    <row r="958" spans="1:4" ht="14.4">
      <c r="A958" s="53" t="s">
        <v>1982</v>
      </c>
      <c r="B958" s="53" t="s">
        <v>1983</v>
      </c>
      <c r="C958" s="54" t="s">
        <v>87</v>
      </c>
      <c r="D958" s="53" t="s">
        <v>256</v>
      </c>
    </row>
    <row r="959" spans="1:4" ht="14.4">
      <c r="A959" s="53" t="s">
        <v>1984</v>
      </c>
      <c r="B959" s="53" t="s">
        <v>1985</v>
      </c>
      <c r="C959" s="54" t="s">
        <v>87</v>
      </c>
      <c r="D959" s="53" t="s">
        <v>256</v>
      </c>
    </row>
    <row r="960" spans="1:4" ht="14.4">
      <c r="A960" s="53" t="s">
        <v>1986</v>
      </c>
      <c r="B960" s="53" t="s">
        <v>1987</v>
      </c>
      <c r="C960" s="54" t="s">
        <v>87</v>
      </c>
      <c r="D960" s="53" t="s">
        <v>256</v>
      </c>
    </row>
    <row r="961" spans="1:4" ht="14.4">
      <c r="A961" s="53" t="s">
        <v>1988</v>
      </c>
      <c r="B961" s="53" t="s">
        <v>1989</v>
      </c>
      <c r="C961" s="54" t="s">
        <v>89</v>
      </c>
      <c r="D961" s="53" t="s">
        <v>288</v>
      </c>
    </row>
    <row r="962" spans="1:4" ht="14.4">
      <c r="A962" s="53" t="s">
        <v>1990</v>
      </c>
      <c r="B962" s="53" t="s">
        <v>1991</v>
      </c>
      <c r="C962" s="54" t="s">
        <v>89</v>
      </c>
      <c r="D962" s="53" t="s">
        <v>288</v>
      </c>
    </row>
    <row r="963" spans="1:4" ht="14.4">
      <c r="A963" s="53" t="s">
        <v>1992</v>
      </c>
      <c r="B963" s="53" t="s">
        <v>1993</v>
      </c>
      <c r="C963" s="54" t="s">
        <v>89</v>
      </c>
      <c r="D963" s="53" t="s">
        <v>288</v>
      </c>
    </row>
    <row r="964" spans="1:4" ht="14.4">
      <c r="A964" s="53" t="s">
        <v>1994</v>
      </c>
      <c r="B964" s="53" t="s">
        <v>1995</v>
      </c>
      <c r="C964" s="54" t="s">
        <v>89</v>
      </c>
      <c r="D964" s="53" t="s">
        <v>288</v>
      </c>
    </row>
    <row r="965" spans="1:4" ht="14.4">
      <c r="A965" s="53" t="s">
        <v>1996</v>
      </c>
      <c r="B965" s="53" t="s">
        <v>1997</v>
      </c>
      <c r="C965" s="54" t="s">
        <v>84</v>
      </c>
      <c r="D965" s="53" t="s">
        <v>268</v>
      </c>
    </row>
    <row r="966" spans="1:4" ht="14.4">
      <c r="A966" s="53" t="s">
        <v>1998</v>
      </c>
      <c r="B966" s="53" t="s">
        <v>1999</v>
      </c>
      <c r="C966" s="54" t="s">
        <v>89</v>
      </c>
      <c r="D966" s="53" t="s">
        <v>288</v>
      </c>
    </row>
    <row r="967" spans="1:4" ht="14.4">
      <c r="A967" s="53" t="s">
        <v>2000</v>
      </c>
      <c r="B967" s="53" t="s">
        <v>2001</v>
      </c>
      <c r="C967" s="54" t="s">
        <v>89</v>
      </c>
      <c r="D967" s="53" t="s">
        <v>631</v>
      </c>
    </row>
    <row r="968" spans="1:4" ht="14.4">
      <c r="A968" s="53" t="s">
        <v>2002</v>
      </c>
      <c r="B968" s="53" t="s">
        <v>2003</v>
      </c>
      <c r="C968" s="54" t="s">
        <v>89</v>
      </c>
      <c r="D968" s="53" t="s">
        <v>631</v>
      </c>
    </row>
    <row r="969" spans="1:4" ht="14.4">
      <c r="A969" s="53" t="s">
        <v>2004</v>
      </c>
      <c r="B969" s="53" t="s">
        <v>2005</v>
      </c>
      <c r="C969" s="54" t="s">
        <v>89</v>
      </c>
      <c r="D969" s="53" t="s">
        <v>631</v>
      </c>
    </row>
    <row r="970" spans="1:4" ht="14.4">
      <c r="A970" s="53" t="s">
        <v>2006</v>
      </c>
      <c r="B970" s="53" t="s">
        <v>2007</v>
      </c>
      <c r="C970" s="54" t="s">
        <v>89</v>
      </c>
      <c r="D970" s="53" t="s">
        <v>288</v>
      </c>
    </row>
    <row r="971" spans="1:4" ht="14.4">
      <c r="A971" s="53" t="s">
        <v>2008</v>
      </c>
      <c r="B971" s="53" t="s">
        <v>2009</v>
      </c>
      <c r="C971" s="54" t="s">
        <v>89</v>
      </c>
      <c r="D971" s="53" t="s">
        <v>288</v>
      </c>
    </row>
    <row r="972" spans="1:4" ht="14.4">
      <c r="A972" s="53" t="s">
        <v>3119</v>
      </c>
      <c r="B972" s="53" t="s">
        <v>3120</v>
      </c>
      <c r="C972" s="54" t="s">
        <v>89</v>
      </c>
      <c r="D972" s="53" t="s">
        <v>130</v>
      </c>
    </row>
    <row r="973" spans="1:4" ht="14.4">
      <c r="A973" s="53" t="s">
        <v>2010</v>
      </c>
      <c r="B973" s="53" t="s">
        <v>2011</v>
      </c>
      <c r="C973" s="54" t="s">
        <v>89</v>
      </c>
      <c r="D973" s="53" t="s">
        <v>130</v>
      </c>
    </row>
    <row r="974" spans="1:4" ht="14.4">
      <c r="A974" s="53" t="s">
        <v>2012</v>
      </c>
      <c r="B974" s="53" t="s">
        <v>2013</v>
      </c>
      <c r="C974" s="54" t="s">
        <v>85</v>
      </c>
      <c r="D974" s="53"/>
    </row>
    <row r="975" spans="1:4" ht="14.4">
      <c r="A975" s="53" t="s">
        <v>2014</v>
      </c>
      <c r="B975" s="53" t="s">
        <v>2015</v>
      </c>
      <c r="C975" s="54" t="s">
        <v>88</v>
      </c>
      <c r="D975" s="53"/>
    </row>
    <row r="976" spans="1:4" ht="14.4">
      <c r="A976" s="53" t="s">
        <v>2016</v>
      </c>
      <c r="B976" s="53" t="s">
        <v>2017</v>
      </c>
      <c r="C976" s="54" t="s">
        <v>85</v>
      </c>
      <c r="D976" s="53"/>
    </row>
    <row r="977" spans="1:4" ht="14.4">
      <c r="A977" s="53" t="s">
        <v>2018</v>
      </c>
      <c r="B977" s="53" t="s">
        <v>2019</v>
      </c>
      <c r="C977" s="54" t="s">
        <v>87</v>
      </c>
      <c r="D977" s="53" t="s">
        <v>256</v>
      </c>
    </row>
    <row r="978" spans="1:4" ht="14.4">
      <c r="A978" s="53" t="s">
        <v>2020</v>
      </c>
      <c r="B978" s="53" t="s">
        <v>2021</v>
      </c>
      <c r="C978" s="54" t="s">
        <v>84</v>
      </c>
      <c r="D978" s="53" t="s">
        <v>241</v>
      </c>
    </row>
    <row r="979" spans="1:4" ht="14.4">
      <c r="A979" s="53" t="s">
        <v>2022</v>
      </c>
      <c r="B979" s="53" t="s">
        <v>2023</v>
      </c>
      <c r="C979" s="54" t="s">
        <v>85</v>
      </c>
      <c r="D979" s="53"/>
    </row>
    <row r="980" spans="1:4" ht="14.4">
      <c r="A980" s="53" t="s">
        <v>2024</v>
      </c>
      <c r="B980" s="53" t="s">
        <v>2025</v>
      </c>
      <c r="C980" s="54" t="s">
        <v>84</v>
      </c>
      <c r="D980" s="53" t="s">
        <v>207</v>
      </c>
    </row>
    <row r="981" spans="1:4" ht="14.4">
      <c r="A981" s="53" t="s">
        <v>2026</v>
      </c>
      <c r="B981" s="53" t="s">
        <v>2027</v>
      </c>
      <c r="C981" s="54" t="s">
        <v>87</v>
      </c>
      <c r="D981" s="53" t="s">
        <v>256</v>
      </c>
    </row>
    <row r="982" spans="1:4" ht="14.4">
      <c r="A982" s="53" t="s">
        <v>2028</v>
      </c>
      <c r="B982" s="53" t="s">
        <v>2029</v>
      </c>
      <c r="C982" s="54" t="s">
        <v>89</v>
      </c>
      <c r="D982" s="53" t="s">
        <v>337</v>
      </c>
    </row>
    <row r="983" spans="1:4" ht="14.4">
      <c r="A983" s="53" t="s">
        <v>2030</v>
      </c>
      <c r="B983" s="53" t="s">
        <v>2031</v>
      </c>
      <c r="C983" s="54" t="s">
        <v>85</v>
      </c>
      <c r="D983" s="53"/>
    </row>
    <row r="984" spans="1:4" ht="14.4">
      <c r="A984" s="53" t="s">
        <v>2032</v>
      </c>
      <c r="B984" s="53" t="s">
        <v>2033</v>
      </c>
      <c r="C984" s="54" t="s">
        <v>87</v>
      </c>
      <c r="D984" s="53" t="s">
        <v>256</v>
      </c>
    </row>
    <row r="985" spans="1:4" ht="14.4">
      <c r="A985" s="53" t="s">
        <v>2034</v>
      </c>
      <c r="B985" s="53" t="s">
        <v>2035</v>
      </c>
      <c r="C985" s="54" t="s">
        <v>87</v>
      </c>
      <c r="D985" s="53" t="s">
        <v>256</v>
      </c>
    </row>
    <row r="986" spans="1:4" ht="14.4">
      <c r="A986" s="53" t="s">
        <v>2036</v>
      </c>
      <c r="B986" s="53" t="s">
        <v>2037</v>
      </c>
      <c r="C986" s="54" t="s">
        <v>87</v>
      </c>
      <c r="D986" s="53" t="s">
        <v>318</v>
      </c>
    </row>
    <row r="987" spans="1:4" ht="14.4">
      <c r="A987" s="53" t="s">
        <v>2038</v>
      </c>
      <c r="B987" s="53" t="s">
        <v>2039</v>
      </c>
      <c r="C987" s="54" t="s">
        <v>85</v>
      </c>
      <c r="D987" s="53"/>
    </row>
    <row r="988" spans="1:4" ht="14.4">
      <c r="A988" s="53" t="s">
        <v>2040</v>
      </c>
      <c r="B988" s="53" t="s">
        <v>2041</v>
      </c>
      <c r="C988" s="54" t="s">
        <v>85</v>
      </c>
      <c r="D988" s="53"/>
    </row>
    <row r="989" spans="1:4" ht="14.4">
      <c r="A989" s="53" t="s">
        <v>2042</v>
      </c>
      <c r="B989" s="53" t="s">
        <v>2043</v>
      </c>
      <c r="C989" s="54" t="s">
        <v>85</v>
      </c>
      <c r="D989" s="53"/>
    </row>
    <row r="990" spans="1:4" ht="14.4">
      <c r="A990" s="53" t="s">
        <v>2044</v>
      </c>
      <c r="B990" s="53" t="s">
        <v>2045</v>
      </c>
      <c r="C990" s="54" t="s">
        <v>84</v>
      </c>
      <c r="D990" s="53" t="s">
        <v>241</v>
      </c>
    </row>
    <row r="991" spans="1:4" ht="14.4">
      <c r="A991" s="53" t="s">
        <v>2046</v>
      </c>
      <c r="B991" s="53" t="s">
        <v>2047</v>
      </c>
      <c r="C991" s="54" t="s">
        <v>84</v>
      </c>
      <c r="D991" s="53" t="s">
        <v>241</v>
      </c>
    </row>
    <row r="992" spans="1:4" ht="14.4">
      <c r="A992" s="53" t="s">
        <v>43</v>
      </c>
      <c r="B992" s="53" t="s">
        <v>2048</v>
      </c>
      <c r="C992" s="54" t="s">
        <v>90</v>
      </c>
      <c r="D992" s="53"/>
    </row>
    <row r="993" spans="1:4" ht="14.4">
      <c r="A993" s="53" t="s">
        <v>2049</v>
      </c>
      <c r="B993" s="53" t="s">
        <v>2050</v>
      </c>
      <c r="C993" s="54" t="s">
        <v>90</v>
      </c>
      <c r="D993" s="53"/>
    </row>
    <row r="994" spans="1:4" ht="14.4">
      <c r="A994" s="53" t="s">
        <v>2051</v>
      </c>
      <c r="B994" s="53" t="s">
        <v>2052</v>
      </c>
      <c r="C994" s="54" t="s">
        <v>85</v>
      </c>
      <c r="D994" s="53"/>
    </row>
    <row r="995" spans="1:4" ht="14.4">
      <c r="A995" s="53" t="s">
        <v>2053</v>
      </c>
      <c r="B995" s="53" t="s">
        <v>2054</v>
      </c>
      <c r="C995" s="54" t="s">
        <v>89</v>
      </c>
      <c r="D995" s="53" t="s">
        <v>288</v>
      </c>
    </row>
    <row r="996" spans="1:4" ht="14.4">
      <c r="A996" s="53" t="s">
        <v>2055</v>
      </c>
      <c r="B996" s="53" t="s">
        <v>2056</v>
      </c>
      <c r="C996" s="54" t="s">
        <v>87</v>
      </c>
      <c r="D996" s="53" t="s">
        <v>256</v>
      </c>
    </row>
    <row r="997" spans="1:4" ht="14.4">
      <c r="A997" s="53" t="s">
        <v>2057</v>
      </c>
      <c r="B997" s="53" t="s">
        <v>2058</v>
      </c>
      <c r="C997" s="54" t="s">
        <v>87</v>
      </c>
      <c r="D997" s="53" t="s">
        <v>256</v>
      </c>
    </row>
    <row r="998" spans="1:4" ht="14.4">
      <c r="A998" s="53" t="s">
        <v>2059</v>
      </c>
      <c r="B998" s="53" t="s">
        <v>2060</v>
      </c>
      <c r="C998" s="54" t="s">
        <v>89</v>
      </c>
      <c r="D998" s="53" t="s">
        <v>337</v>
      </c>
    </row>
    <row r="999" spans="1:4" ht="14.4">
      <c r="A999" s="53" t="s">
        <v>2061</v>
      </c>
      <c r="B999" s="53" t="s">
        <v>2062</v>
      </c>
      <c r="C999" s="54" t="s">
        <v>87</v>
      </c>
      <c r="D999" s="53" t="s">
        <v>318</v>
      </c>
    </row>
    <row r="1000" spans="1:4" ht="14.4">
      <c r="A1000" s="53" t="s">
        <v>2063</v>
      </c>
      <c r="B1000" s="53" t="s">
        <v>2064</v>
      </c>
      <c r="C1000" s="54" t="s">
        <v>88</v>
      </c>
      <c r="D1000" s="53"/>
    </row>
    <row r="1001" spans="1:4" ht="14.4">
      <c r="A1001" s="53" t="s">
        <v>2065</v>
      </c>
      <c r="B1001" s="53" t="s">
        <v>2066</v>
      </c>
      <c r="C1001" s="54" t="s">
        <v>88</v>
      </c>
      <c r="D1001" s="53"/>
    </row>
    <row r="1002" spans="1:4" ht="14.4">
      <c r="A1002" s="53" t="s">
        <v>2067</v>
      </c>
      <c r="B1002" s="53" t="s">
        <v>2068</v>
      </c>
      <c r="C1002" s="54" t="s">
        <v>88</v>
      </c>
      <c r="D1002" s="53"/>
    </row>
    <row r="1003" spans="1:4" ht="14.4">
      <c r="A1003" s="53" t="s">
        <v>2069</v>
      </c>
      <c r="B1003" s="53" t="s">
        <v>2070</v>
      </c>
      <c r="C1003" s="54" t="s">
        <v>87</v>
      </c>
      <c r="D1003" s="53" t="s">
        <v>256</v>
      </c>
    </row>
    <row r="1004" spans="1:4" ht="14.4">
      <c r="A1004" s="53" t="s">
        <v>2071</v>
      </c>
      <c r="B1004" s="53" t="s">
        <v>2072</v>
      </c>
      <c r="C1004" s="54" t="s">
        <v>87</v>
      </c>
      <c r="D1004" s="53" t="s">
        <v>256</v>
      </c>
    </row>
    <row r="1005" spans="1:4" ht="14.4">
      <c r="A1005" s="53" t="s">
        <v>2073</v>
      </c>
      <c r="B1005" s="53" t="s">
        <v>2074</v>
      </c>
      <c r="C1005" s="54" t="s">
        <v>87</v>
      </c>
      <c r="D1005" s="53" t="s">
        <v>256</v>
      </c>
    </row>
    <row r="1006" spans="1:4" ht="14.4">
      <c r="A1006" s="53" t="s">
        <v>2075</v>
      </c>
      <c r="B1006" s="53" t="s">
        <v>2076</v>
      </c>
      <c r="C1006" s="54" t="s">
        <v>87</v>
      </c>
      <c r="D1006" s="53" t="s">
        <v>256</v>
      </c>
    </row>
    <row r="1007" spans="1:4" ht="14.4">
      <c r="A1007" s="53" t="s">
        <v>2077</v>
      </c>
      <c r="B1007" s="53" t="s">
        <v>2078</v>
      </c>
      <c r="C1007" s="54" t="s">
        <v>87</v>
      </c>
      <c r="D1007" s="53" t="s">
        <v>256</v>
      </c>
    </row>
    <row r="1008" spans="1:4" ht="14.4">
      <c r="A1008" s="53" t="s">
        <v>2079</v>
      </c>
      <c r="B1008" s="53" t="s">
        <v>2080</v>
      </c>
      <c r="C1008" s="54" t="s">
        <v>88</v>
      </c>
      <c r="D1008" s="53"/>
    </row>
    <row r="1009" spans="1:4" ht="14.4">
      <c r="A1009" s="53" t="s">
        <v>2081</v>
      </c>
      <c r="B1009" s="53" t="s">
        <v>2082</v>
      </c>
      <c r="C1009" s="54" t="s">
        <v>88</v>
      </c>
      <c r="D1009" s="53"/>
    </row>
    <row r="1010" spans="1:4" ht="14.4">
      <c r="A1010" s="53" t="s">
        <v>2083</v>
      </c>
      <c r="B1010" s="53" t="s">
        <v>2084</v>
      </c>
      <c r="C1010" s="54" t="s">
        <v>88</v>
      </c>
      <c r="D1010" s="53"/>
    </row>
    <row r="1011" spans="1:4" ht="14.4">
      <c r="A1011" s="53" t="s">
        <v>2085</v>
      </c>
      <c r="B1011" s="53" t="s">
        <v>2086</v>
      </c>
      <c r="C1011" s="54" t="s">
        <v>88</v>
      </c>
      <c r="D1011" s="53"/>
    </row>
    <row r="1012" spans="1:4" ht="14.4">
      <c r="A1012" s="53" t="s">
        <v>2087</v>
      </c>
      <c r="B1012" s="53" t="s">
        <v>2088</v>
      </c>
      <c r="C1012" s="54" t="s">
        <v>89</v>
      </c>
      <c r="D1012" s="53" t="s">
        <v>288</v>
      </c>
    </row>
    <row r="1013" spans="1:4" ht="14.4">
      <c r="A1013" s="53" t="s">
        <v>2089</v>
      </c>
      <c r="B1013" s="53" t="s">
        <v>2090</v>
      </c>
      <c r="C1013" s="54" t="s">
        <v>89</v>
      </c>
      <c r="D1013" s="53" t="s">
        <v>288</v>
      </c>
    </row>
    <row r="1014" spans="1:4" ht="14.4">
      <c r="A1014" s="53" t="s">
        <v>2091</v>
      </c>
      <c r="B1014" s="53" t="s">
        <v>2092</v>
      </c>
      <c r="C1014" s="54" t="s">
        <v>89</v>
      </c>
      <c r="D1014" s="53" t="s">
        <v>288</v>
      </c>
    </row>
    <row r="1015" spans="1:4" ht="14.4">
      <c r="A1015" s="53" t="s">
        <v>2093</v>
      </c>
      <c r="B1015" s="53" t="s">
        <v>2094</v>
      </c>
      <c r="C1015" s="54" t="s">
        <v>89</v>
      </c>
      <c r="D1015" s="53" t="s">
        <v>288</v>
      </c>
    </row>
    <row r="1016" spans="1:4" ht="14.4">
      <c r="A1016" s="53" t="s">
        <v>2095</v>
      </c>
      <c r="B1016" s="53" t="s">
        <v>2096</v>
      </c>
      <c r="C1016" s="54" t="s">
        <v>89</v>
      </c>
      <c r="D1016" s="53" t="s">
        <v>265</v>
      </c>
    </row>
    <row r="1017" spans="1:4" ht="14.4">
      <c r="A1017" s="53" t="s">
        <v>2097</v>
      </c>
      <c r="B1017" s="53" t="s">
        <v>2098</v>
      </c>
      <c r="C1017" s="54" t="s">
        <v>88</v>
      </c>
      <c r="D1017" s="53"/>
    </row>
    <row r="1018" spans="1:4" ht="14.4">
      <c r="A1018" s="53" t="s">
        <v>2099</v>
      </c>
      <c r="B1018" s="53" t="s">
        <v>2100</v>
      </c>
      <c r="C1018" s="54" t="s">
        <v>88</v>
      </c>
      <c r="D1018" s="53"/>
    </row>
    <row r="1019" spans="1:4" ht="14.4">
      <c r="A1019" s="53" t="s">
        <v>2101</v>
      </c>
      <c r="B1019" s="53" t="s">
        <v>2102</v>
      </c>
      <c r="C1019" s="54" t="s">
        <v>89</v>
      </c>
      <c r="D1019" s="53" t="s">
        <v>288</v>
      </c>
    </row>
    <row r="1020" spans="1:4" ht="14.4">
      <c r="A1020" s="53" t="s">
        <v>2103</v>
      </c>
      <c r="B1020" s="53" t="s">
        <v>2104</v>
      </c>
      <c r="C1020" s="54" t="s">
        <v>88</v>
      </c>
      <c r="D1020" s="53"/>
    </row>
    <row r="1021" spans="1:4" ht="14.4">
      <c r="A1021" s="53" t="s">
        <v>2105</v>
      </c>
      <c r="B1021" s="53" t="s">
        <v>2106</v>
      </c>
      <c r="C1021" s="54" t="s">
        <v>85</v>
      </c>
      <c r="D1021" s="53"/>
    </row>
    <row r="1022" spans="1:4" ht="14.4">
      <c r="A1022" s="53" t="s">
        <v>2107</v>
      </c>
      <c r="B1022" s="53" t="s">
        <v>2108</v>
      </c>
      <c r="C1022" s="54" t="s">
        <v>87</v>
      </c>
      <c r="D1022" s="53" t="s">
        <v>318</v>
      </c>
    </row>
    <row r="1023" spans="1:4" ht="14.4">
      <c r="A1023" s="53" t="s">
        <v>2109</v>
      </c>
      <c r="B1023" s="53" t="s">
        <v>2110</v>
      </c>
      <c r="C1023" s="54" t="s">
        <v>88</v>
      </c>
      <c r="D1023" s="53"/>
    </row>
    <row r="1024" spans="1:4" ht="14.4">
      <c r="A1024" s="53" t="s">
        <v>2111</v>
      </c>
      <c r="B1024" s="53" t="s">
        <v>2112</v>
      </c>
      <c r="C1024" s="54" t="s">
        <v>84</v>
      </c>
      <c r="D1024" s="53" t="s">
        <v>241</v>
      </c>
    </row>
    <row r="1025" spans="1:4" ht="14.4">
      <c r="A1025" s="53" t="s">
        <v>2113</v>
      </c>
      <c r="B1025" s="53" t="s">
        <v>2114</v>
      </c>
      <c r="C1025" s="54" t="s">
        <v>88</v>
      </c>
      <c r="D1025" s="53"/>
    </row>
    <row r="1026" spans="1:4" ht="14.4">
      <c r="A1026" s="53" t="s">
        <v>2115</v>
      </c>
      <c r="B1026" s="53" t="s">
        <v>2116</v>
      </c>
      <c r="C1026" s="54" t="s">
        <v>84</v>
      </c>
      <c r="D1026" s="53" t="s">
        <v>241</v>
      </c>
    </row>
    <row r="1027" spans="1:4" ht="14.4">
      <c r="A1027" s="53" t="s">
        <v>2117</v>
      </c>
      <c r="B1027" s="53" t="s">
        <v>2118</v>
      </c>
      <c r="C1027" s="54" t="s">
        <v>84</v>
      </c>
      <c r="D1027" s="53" t="s">
        <v>241</v>
      </c>
    </row>
    <row r="1028" spans="1:4" ht="14.4">
      <c r="A1028" s="53" t="s">
        <v>2119</v>
      </c>
      <c r="B1028" s="53" t="s">
        <v>2120</v>
      </c>
      <c r="C1028" s="54" t="s">
        <v>84</v>
      </c>
      <c r="D1028" s="53" t="s">
        <v>241</v>
      </c>
    </row>
    <row r="1029" spans="1:4" ht="14.4">
      <c r="A1029" s="53" t="s">
        <v>2121</v>
      </c>
      <c r="B1029" s="53" t="s">
        <v>2122</v>
      </c>
      <c r="C1029" s="54" t="s">
        <v>59</v>
      </c>
      <c r="D1029" s="53"/>
    </row>
    <row r="1030" spans="1:4" ht="14.4">
      <c r="A1030" s="53" t="s">
        <v>2123</v>
      </c>
      <c r="B1030" s="53" t="s">
        <v>2124</v>
      </c>
      <c r="C1030" s="54" t="s">
        <v>88</v>
      </c>
      <c r="D1030" s="53"/>
    </row>
    <row r="1031" spans="1:4" ht="14.4">
      <c r="A1031" s="53" t="s">
        <v>2125</v>
      </c>
      <c r="B1031" s="53" t="s">
        <v>2126</v>
      </c>
      <c r="C1031" s="54" t="s">
        <v>84</v>
      </c>
      <c r="D1031" s="53" t="s">
        <v>241</v>
      </c>
    </row>
    <row r="1032" spans="1:4" ht="14.4">
      <c r="A1032" s="53" t="s">
        <v>2127</v>
      </c>
      <c r="B1032" s="53" t="s">
        <v>2128</v>
      </c>
      <c r="C1032" s="54" t="s">
        <v>88</v>
      </c>
      <c r="D1032" s="53"/>
    </row>
    <row r="1033" spans="1:4" ht="14.4">
      <c r="A1033" s="53" t="s">
        <v>2129</v>
      </c>
      <c r="B1033" s="53" t="s">
        <v>2130</v>
      </c>
      <c r="C1033" s="54" t="s">
        <v>89</v>
      </c>
      <c r="D1033" s="53" t="s">
        <v>288</v>
      </c>
    </row>
    <row r="1034" spans="1:4" ht="14.4">
      <c r="A1034" s="53" t="s">
        <v>2131</v>
      </c>
      <c r="B1034" s="53" t="s">
        <v>2132</v>
      </c>
      <c r="C1034" s="54" t="s">
        <v>84</v>
      </c>
      <c r="D1034" s="53" t="s">
        <v>207</v>
      </c>
    </row>
    <row r="1035" spans="1:4" ht="14.4">
      <c r="A1035" s="53" t="s">
        <v>2133</v>
      </c>
      <c r="B1035" s="53" t="s">
        <v>2134</v>
      </c>
      <c r="C1035" s="54" t="s">
        <v>84</v>
      </c>
      <c r="D1035" s="53" t="s">
        <v>207</v>
      </c>
    </row>
    <row r="1036" spans="1:4" ht="14.4">
      <c r="A1036" s="53" t="s">
        <v>2135</v>
      </c>
      <c r="B1036" s="53" t="s">
        <v>2136</v>
      </c>
      <c r="C1036" s="54" t="s">
        <v>87</v>
      </c>
      <c r="D1036" s="53" t="s">
        <v>256</v>
      </c>
    </row>
    <row r="1037" spans="1:4" ht="14.4">
      <c r="A1037" s="53" t="s">
        <v>2137</v>
      </c>
      <c r="B1037" s="53" t="s">
        <v>2138</v>
      </c>
      <c r="C1037" s="54" t="s">
        <v>85</v>
      </c>
      <c r="D1037" s="53"/>
    </row>
    <row r="1038" spans="1:4" ht="14.4">
      <c r="A1038" s="53" t="s">
        <v>2139</v>
      </c>
      <c r="B1038" s="53" t="s">
        <v>2140</v>
      </c>
      <c r="C1038" s="54" t="s">
        <v>84</v>
      </c>
      <c r="D1038" s="53" t="s">
        <v>268</v>
      </c>
    </row>
    <row r="1039" spans="1:4" ht="14.4">
      <c r="A1039" s="53" t="s">
        <v>2141</v>
      </c>
      <c r="B1039" s="53" t="s">
        <v>2142</v>
      </c>
      <c r="C1039" s="54" t="s">
        <v>84</v>
      </c>
      <c r="D1039" s="53" t="s">
        <v>268</v>
      </c>
    </row>
    <row r="1040" spans="1:4" ht="14.4">
      <c r="A1040" s="53" t="s">
        <v>2143</v>
      </c>
      <c r="B1040" s="53" t="s">
        <v>2144</v>
      </c>
      <c r="C1040" s="54" t="s">
        <v>84</v>
      </c>
      <c r="D1040" s="53" t="s">
        <v>268</v>
      </c>
    </row>
    <row r="1041" spans="1:4" ht="14.4">
      <c r="A1041" s="53" t="s">
        <v>2145</v>
      </c>
      <c r="B1041" s="53" t="s">
        <v>2146</v>
      </c>
      <c r="C1041" s="54" t="s">
        <v>85</v>
      </c>
      <c r="D1041" s="53"/>
    </row>
    <row r="1042" spans="1:4" ht="14.4">
      <c r="A1042" s="53" t="s">
        <v>2147</v>
      </c>
      <c r="B1042" s="53" t="s">
        <v>2148</v>
      </c>
      <c r="C1042" s="54" t="s">
        <v>85</v>
      </c>
      <c r="D1042" s="53"/>
    </row>
    <row r="1043" spans="1:4" ht="14.4">
      <c r="A1043" s="53" t="s">
        <v>2149</v>
      </c>
      <c r="B1043" s="53" t="s">
        <v>2150</v>
      </c>
      <c r="C1043" s="54" t="s">
        <v>88</v>
      </c>
      <c r="D1043" s="53"/>
    </row>
    <row r="1044" spans="1:4" ht="14.4">
      <c r="A1044" s="53" t="s">
        <v>2151</v>
      </c>
      <c r="B1044" s="53" t="s">
        <v>2152</v>
      </c>
      <c r="C1044" s="54" t="s">
        <v>85</v>
      </c>
      <c r="D1044" s="53"/>
    </row>
    <row r="1045" spans="1:4" ht="14.4">
      <c r="A1045" s="53" t="s">
        <v>2153</v>
      </c>
      <c r="B1045" s="53" t="s">
        <v>2154</v>
      </c>
      <c r="C1045" s="54" t="s">
        <v>85</v>
      </c>
      <c r="D1045" s="53"/>
    </row>
    <row r="1046" spans="1:4" ht="14.4">
      <c r="A1046" s="53" t="s">
        <v>2155</v>
      </c>
      <c r="B1046" s="53" t="s">
        <v>2156</v>
      </c>
      <c r="C1046" s="54" t="s">
        <v>87</v>
      </c>
      <c r="D1046" s="53" t="s">
        <v>256</v>
      </c>
    </row>
    <row r="1047" spans="1:4" ht="14.4">
      <c r="A1047" s="53" t="s">
        <v>2157</v>
      </c>
      <c r="B1047" s="53" t="s">
        <v>2158</v>
      </c>
      <c r="C1047" s="54" t="s">
        <v>84</v>
      </c>
      <c r="D1047" s="53" t="s">
        <v>268</v>
      </c>
    </row>
    <row r="1048" spans="1:4" ht="14.4">
      <c r="A1048" s="53" t="s">
        <v>2159</v>
      </c>
      <c r="B1048" s="53" t="s">
        <v>2160</v>
      </c>
      <c r="C1048" s="54" t="s">
        <v>84</v>
      </c>
      <c r="D1048" s="53" t="s">
        <v>268</v>
      </c>
    </row>
    <row r="1049" spans="1:4" ht="14.4">
      <c r="A1049" s="53" t="s">
        <v>2161</v>
      </c>
      <c r="B1049" s="53" t="s">
        <v>2162</v>
      </c>
      <c r="C1049" s="54" t="s">
        <v>84</v>
      </c>
      <c r="D1049" s="53" t="s">
        <v>268</v>
      </c>
    </row>
    <row r="1050" spans="1:4" ht="14.4">
      <c r="A1050" s="53" t="s">
        <v>2163</v>
      </c>
      <c r="B1050" s="53" t="s">
        <v>2164</v>
      </c>
      <c r="C1050" s="54" t="s">
        <v>84</v>
      </c>
      <c r="D1050" s="53" t="s">
        <v>268</v>
      </c>
    </row>
    <row r="1051" spans="1:4" ht="14.4">
      <c r="A1051" s="53" t="s">
        <v>2165</v>
      </c>
      <c r="B1051" s="53" t="s">
        <v>2166</v>
      </c>
      <c r="C1051" s="54" t="s">
        <v>84</v>
      </c>
      <c r="D1051" s="53" t="s">
        <v>268</v>
      </c>
    </row>
    <row r="1052" spans="1:4" ht="14.4">
      <c r="A1052" s="53" t="s">
        <v>2167</v>
      </c>
      <c r="B1052" s="53" t="s">
        <v>2168</v>
      </c>
      <c r="C1052" s="54" t="s">
        <v>84</v>
      </c>
      <c r="D1052" s="53" t="s">
        <v>268</v>
      </c>
    </row>
    <row r="1053" spans="1:4" ht="14.4">
      <c r="A1053" s="53" t="s">
        <v>2169</v>
      </c>
      <c r="B1053" s="53" t="s">
        <v>2170</v>
      </c>
      <c r="C1053" s="54" t="s">
        <v>90</v>
      </c>
      <c r="D1053" s="53"/>
    </row>
    <row r="1054" spans="1:4" ht="14.4">
      <c r="A1054" s="53" t="s">
        <v>2171</v>
      </c>
      <c r="B1054" s="53" t="s">
        <v>2172</v>
      </c>
      <c r="C1054" s="54" t="s">
        <v>84</v>
      </c>
      <c r="D1054" s="53" t="s">
        <v>268</v>
      </c>
    </row>
    <row r="1055" spans="1:4" ht="14.4">
      <c r="A1055" s="53" t="s">
        <v>2173</v>
      </c>
      <c r="B1055" s="53" t="s">
        <v>2174</v>
      </c>
      <c r="C1055" s="54" t="s">
        <v>90</v>
      </c>
      <c r="D1055" s="53"/>
    </row>
    <row r="1056" spans="1:4" ht="14.4">
      <c r="A1056" s="53" t="s">
        <v>2175</v>
      </c>
      <c r="B1056" s="53" t="s">
        <v>2176</v>
      </c>
      <c r="C1056" s="54" t="s">
        <v>89</v>
      </c>
      <c r="D1056" s="53" t="s">
        <v>387</v>
      </c>
    </row>
    <row r="1057" spans="1:4" ht="14.4">
      <c r="A1057" s="53" t="s">
        <v>2177</v>
      </c>
      <c r="B1057" s="53" t="s">
        <v>2178</v>
      </c>
      <c r="C1057" s="54" t="s">
        <v>89</v>
      </c>
      <c r="D1057" s="53" t="s">
        <v>288</v>
      </c>
    </row>
    <row r="1058" spans="1:4" ht="14.4">
      <c r="A1058" s="53" t="s">
        <v>2179</v>
      </c>
      <c r="B1058" s="53" t="s">
        <v>2180</v>
      </c>
      <c r="C1058" s="54" t="s">
        <v>89</v>
      </c>
      <c r="D1058" s="53" t="s">
        <v>288</v>
      </c>
    </row>
    <row r="1059" spans="1:4" ht="14.4">
      <c r="A1059" s="53" t="s">
        <v>2181</v>
      </c>
      <c r="B1059" s="53" t="s">
        <v>2182</v>
      </c>
      <c r="C1059" s="54" t="s">
        <v>89</v>
      </c>
      <c r="D1059" s="53" t="s">
        <v>288</v>
      </c>
    </row>
    <row r="1060" spans="1:4" ht="14.4">
      <c r="A1060" s="53" t="s">
        <v>2183</v>
      </c>
      <c r="B1060" s="53" t="s">
        <v>2184</v>
      </c>
      <c r="C1060" s="54" t="s">
        <v>89</v>
      </c>
      <c r="D1060" s="53" t="s">
        <v>288</v>
      </c>
    </row>
    <row r="1061" spans="1:4" ht="14.4">
      <c r="A1061" s="53" t="s">
        <v>2185</v>
      </c>
      <c r="B1061" s="53" t="s">
        <v>2186</v>
      </c>
      <c r="C1061" s="54" t="s">
        <v>89</v>
      </c>
      <c r="D1061" s="53" t="s">
        <v>265</v>
      </c>
    </row>
    <row r="1062" spans="1:4" ht="14.4">
      <c r="A1062" s="53" t="s">
        <v>2187</v>
      </c>
      <c r="B1062" s="53" t="s">
        <v>2188</v>
      </c>
      <c r="C1062" s="54" t="s">
        <v>89</v>
      </c>
      <c r="D1062" s="53" t="s">
        <v>265</v>
      </c>
    </row>
    <row r="1063" spans="1:4" ht="14.4">
      <c r="A1063" s="53" t="s">
        <v>2189</v>
      </c>
      <c r="B1063" s="53" t="s">
        <v>2190</v>
      </c>
      <c r="C1063" s="54" t="s">
        <v>87</v>
      </c>
      <c r="D1063" s="53" t="s">
        <v>998</v>
      </c>
    </row>
    <row r="1064" spans="1:4" ht="14.4">
      <c r="A1064" s="53" t="s">
        <v>2191</v>
      </c>
      <c r="B1064" s="53" t="s">
        <v>2192</v>
      </c>
      <c r="C1064" s="54" t="s">
        <v>90</v>
      </c>
      <c r="D1064" s="53"/>
    </row>
    <row r="1065" spans="1:4" ht="14.4">
      <c r="A1065" s="53" t="s">
        <v>2193</v>
      </c>
      <c r="B1065" s="53" t="s">
        <v>2194</v>
      </c>
      <c r="C1065" s="54" t="s">
        <v>84</v>
      </c>
      <c r="D1065" s="53" t="s">
        <v>268</v>
      </c>
    </row>
    <row r="1066" spans="1:4" ht="14.4">
      <c r="A1066" s="53" t="s">
        <v>2195</v>
      </c>
      <c r="B1066" s="53" t="s">
        <v>2196</v>
      </c>
      <c r="C1066" s="54" t="s">
        <v>85</v>
      </c>
      <c r="D1066" s="53"/>
    </row>
    <row r="1067" spans="1:4" ht="14.4">
      <c r="A1067" s="53" t="s">
        <v>2197</v>
      </c>
      <c r="B1067" s="53" t="s">
        <v>2198</v>
      </c>
      <c r="C1067" s="54" t="s">
        <v>84</v>
      </c>
      <c r="D1067" s="53" t="s">
        <v>241</v>
      </c>
    </row>
    <row r="1068" spans="1:4" ht="14.4">
      <c r="A1068" s="53" t="s">
        <v>2199</v>
      </c>
      <c r="B1068" s="53" t="s">
        <v>2200</v>
      </c>
      <c r="C1068" s="54" t="s">
        <v>84</v>
      </c>
      <c r="D1068" s="53" t="s">
        <v>241</v>
      </c>
    </row>
    <row r="1069" spans="1:4" ht="14.4">
      <c r="A1069" s="53" t="s">
        <v>2201</v>
      </c>
      <c r="B1069" s="53" t="s">
        <v>2202</v>
      </c>
      <c r="C1069" s="54" t="s">
        <v>84</v>
      </c>
      <c r="D1069" s="53" t="s">
        <v>241</v>
      </c>
    </row>
    <row r="1070" spans="1:4" ht="14.4">
      <c r="A1070" s="53" t="s">
        <v>2203</v>
      </c>
      <c r="B1070" s="53" t="s">
        <v>2204</v>
      </c>
      <c r="C1070" s="54" t="s">
        <v>84</v>
      </c>
      <c r="D1070" s="53" t="s">
        <v>241</v>
      </c>
    </row>
    <row r="1071" spans="1:4" ht="14.4">
      <c r="A1071" s="53" t="s">
        <v>2205</v>
      </c>
      <c r="B1071" s="53" t="s">
        <v>2206</v>
      </c>
      <c r="C1071" s="54" t="s">
        <v>87</v>
      </c>
      <c r="D1071" s="53" t="s">
        <v>256</v>
      </c>
    </row>
    <row r="1072" spans="1:4" ht="14.4">
      <c r="A1072" s="53" t="s">
        <v>2207</v>
      </c>
      <c r="B1072" s="53" t="s">
        <v>2208</v>
      </c>
      <c r="C1072" s="54" t="s">
        <v>87</v>
      </c>
      <c r="D1072" s="53" t="s">
        <v>256</v>
      </c>
    </row>
    <row r="1073" spans="1:4" ht="14.4">
      <c r="A1073" s="53" t="s">
        <v>2209</v>
      </c>
      <c r="B1073" s="53" t="s">
        <v>2210</v>
      </c>
      <c r="C1073" s="54" t="s">
        <v>87</v>
      </c>
      <c r="D1073" s="53" t="s">
        <v>256</v>
      </c>
    </row>
    <row r="1074" spans="1:4" ht="14.4">
      <c r="A1074" s="53" t="s">
        <v>2211</v>
      </c>
      <c r="B1074" s="53" t="s">
        <v>2212</v>
      </c>
      <c r="C1074" s="54" t="s">
        <v>85</v>
      </c>
      <c r="D1074" s="53"/>
    </row>
    <row r="1075" spans="1:4" ht="14.4">
      <c r="A1075" s="53" t="s">
        <v>2213</v>
      </c>
      <c r="B1075" s="53" t="s">
        <v>2214</v>
      </c>
      <c r="C1075" s="54" t="s">
        <v>85</v>
      </c>
      <c r="D1075" s="53"/>
    </row>
    <row r="1076" spans="1:4" ht="14.4">
      <c r="A1076" s="53" t="s">
        <v>2215</v>
      </c>
      <c r="B1076" s="53" t="s">
        <v>2216</v>
      </c>
      <c r="C1076" s="54" t="s">
        <v>85</v>
      </c>
      <c r="D1076" s="53"/>
    </row>
    <row r="1077" spans="1:4" ht="14.4">
      <c r="A1077" s="53" t="s">
        <v>2217</v>
      </c>
      <c r="B1077" s="53" t="s">
        <v>2218</v>
      </c>
      <c r="C1077" s="54" t="s">
        <v>85</v>
      </c>
      <c r="D1077" s="53"/>
    </row>
    <row r="1078" spans="1:4" ht="14.4">
      <c r="A1078" s="53" t="s">
        <v>2219</v>
      </c>
      <c r="B1078" s="53" t="s">
        <v>2220</v>
      </c>
      <c r="C1078" s="54" t="s">
        <v>90</v>
      </c>
      <c r="D1078" s="53"/>
    </row>
    <row r="1079" spans="1:4" ht="14.4">
      <c r="A1079" s="53" t="s">
        <v>3121</v>
      </c>
      <c r="B1079" s="53" t="s">
        <v>2221</v>
      </c>
      <c r="C1079" s="54" t="s">
        <v>90</v>
      </c>
      <c r="D1079" s="53"/>
    </row>
    <row r="1080" spans="1:4" ht="14.4">
      <c r="A1080" s="53" t="s">
        <v>2222</v>
      </c>
      <c r="B1080" s="53" t="s">
        <v>2223</v>
      </c>
      <c r="C1080" s="54" t="s">
        <v>90</v>
      </c>
      <c r="D1080" s="53"/>
    </row>
    <row r="1081" spans="1:4" ht="14.4">
      <c r="A1081" s="53" t="s">
        <v>3123</v>
      </c>
      <c r="B1081" s="53" t="s">
        <v>3122</v>
      </c>
      <c r="C1081" s="54" t="s">
        <v>87</v>
      </c>
      <c r="D1081" s="53" t="s">
        <v>256</v>
      </c>
    </row>
    <row r="1082" spans="1:4" ht="14.4">
      <c r="A1082" s="53" t="s">
        <v>3125</v>
      </c>
      <c r="B1082" s="53" t="s">
        <v>3124</v>
      </c>
      <c r="C1082" s="54" t="s">
        <v>87</v>
      </c>
      <c r="D1082" s="53" t="s">
        <v>256</v>
      </c>
    </row>
    <row r="1083" spans="1:4" ht="14.4">
      <c r="A1083" s="53" t="s">
        <v>2224</v>
      </c>
      <c r="B1083" s="53" t="s">
        <v>2225</v>
      </c>
      <c r="C1083" s="54" t="s">
        <v>87</v>
      </c>
      <c r="D1083" s="53" t="s">
        <v>256</v>
      </c>
    </row>
    <row r="1084" spans="1:4" ht="14.4">
      <c r="A1084" s="53" t="s">
        <v>2226</v>
      </c>
      <c r="B1084" s="53" t="s">
        <v>2227</v>
      </c>
      <c r="C1084" s="54" t="s">
        <v>90</v>
      </c>
      <c r="D1084" s="53"/>
    </row>
    <row r="1085" spans="1:4" ht="14.4">
      <c r="A1085" s="53" t="s">
        <v>2228</v>
      </c>
      <c r="B1085" s="53" t="s">
        <v>2229</v>
      </c>
      <c r="C1085" s="54" t="s">
        <v>87</v>
      </c>
      <c r="D1085" s="53" t="s">
        <v>998</v>
      </c>
    </row>
    <row r="1086" spans="1:4" ht="14.4">
      <c r="A1086" s="53" t="s">
        <v>2230</v>
      </c>
      <c r="B1086" s="53" t="s">
        <v>2231</v>
      </c>
      <c r="C1086" s="54" t="s">
        <v>88</v>
      </c>
      <c r="D1086" s="53"/>
    </row>
    <row r="1087" spans="1:4" ht="14.4">
      <c r="A1087" s="53" t="s">
        <v>2232</v>
      </c>
      <c r="B1087" s="53" t="s">
        <v>2233</v>
      </c>
      <c r="C1087" s="54" t="s">
        <v>87</v>
      </c>
      <c r="D1087" s="53" t="s">
        <v>318</v>
      </c>
    </row>
    <row r="1088" spans="1:4" ht="14.4">
      <c r="A1088" s="53" t="s">
        <v>2234</v>
      </c>
      <c r="B1088" s="53" t="s">
        <v>2235</v>
      </c>
      <c r="C1088" s="54" t="s">
        <v>87</v>
      </c>
      <c r="D1088" s="53" t="s">
        <v>256</v>
      </c>
    </row>
    <row r="1089" spans="1:4" ht="14.4">
      <c r="A1089" s="53" t="s">
        <v>2236</v>
      </c>
      <c r="B1089" s="53" t="s">
        <v>2237</v>
      </c>
      <c r="C1089" s="54" t="s">
        <v>87</v>
      </c>
      <c r="D1089" s="53" t="s">
        <v>256</v>
      </c>
    </row>
    <row r="1090" spans="1:4" ht="14.4">
      <c r="A1090" s="53" t="s">
        <v>2238</v>
      </c>
      <c r="B1090" s="53" t="s">
        <v>2239</v>
      </c>
      <c r="C1090" s="54" t="s">
        <v>88</v>
      </c>
      <c r="D1090" s="53"/>
    </row>
    <row r="1091" spans="1:4" ht="14.4">
      <c r="A1091" s="53" t="s">
        <v>2240</v>
      </c>
      <c r="B1091" s="53" t="s">
        <v>2241</v>
      </c>
      <c r="C1091" s="54" t="s">
        <v>89</v>
      </c>
      <c r="D1091" s="53" t="s">
        <v>121</v>
      </c>
    </row>
    <row r="1092" spans="1:4" ht="14.4">
      <c r="A1092" s="53" t="s">
        <v>2242</v>
      </c>
      <c r="B1092" s="53" t="s">
        <v>2243</v>
      </c>
      <c r="C1092" s="54" t="s">
        <v>87</v>
      </c>
      <c r="D1092" s="53" t="s">
        <v>121</v>
      </c>
    </row>
    <row r="1093" spans="1:4" ht="14.4">
      <c r="A1093" s="53" t="s">
        <v>2244</v>
      </c>
      <c r="B1093" s="53" t="s">
        <v>2245</v>
      </c>
      <c r="C1093" s="54" t="s">
        <v>89</v>
      </c>
      <c r="D1093" s="53" t="s">
        <v>121</v>
      </c>
    </row>
    <row r="1094" spans="1:4" ht="14.4">
      <c r="A1094" s="53" t="s">
        <v>2246</v>
      </c>
      <c r="B1094" s="53" t="s">
        <v>2247</v>
      </c>
      <c r="C1094" s="54" t="s">
        <v>89</v>
      </c>
      <c r="D1094" s="53" t="s">
        <v>121</v>
      </c>
    </row>
    <row r="1095" spans="1:4" ht="14.4">
      <c r="A1095" s="53" t="s">
        <v>2248</v>
      </c>
      <c r="B1095" s="53" t="s">
        <v>2249</v>
      </c>
      <c r="C1095" s="54" t="s">
        <v>89</v>
      </c>
      <c r="D1095" s="53" t="s">
        <v>121</v>
      </c>
    </row>
    <row r="1096" spans="1:4" ht="14.4">
      <c r="A1096" s="53" t="s">
        <v>2250</v>
      </c>
      <c r="B1096" s="53" t="s">
        <v>2251</v>
      </c>
      <c r="C1096" s="54" t="s">
        <v>89</v>
      </c>
      <c r="D1096" s="53" t="s">
        <v>121</v>
      </c>
    </row>
    <row r="1097" spans="1:4" ht="14.4">
      <c r="A1097" s="53" t="s">
        <v>2252</v>
      </c>
      <c r="B1097" s="53" t="s">
        <v>2253</v>
      </c>
      <c r="C1097" s="54" t="s">
        <v>89</v>
      </c>
      <c r="D1097" s="53" t="s">
        <v>121</v>
      </c>
    </row>
    <row r="1098" spans="1:4" ht="14.4">
      <c r="A1098" s="53" t="s">
        <v>2254</v>
      </c>
      <c r="B1098" s="53" t="s">
        <v>2255</v>
      </c>
      <c r="C1098" s="54" t="s">
        <v>88</v>
      </c>
      <c r="D1098" s="53"/>
    </row>
    <row r="1099" spans="1:4" ht="14.4">
      <c r="A1099" s="53" t="s">
        <v>2256</v>
      </c>
      <c r="B1099" s="53" t="s">
        <v>2257</v>
      </c>
      <c r="C1099" s="54" t="s">
        <v>88</v>
      </c>
      <c r="D1099" s="53"/>
    </row>
    <row r="1100" spans="1:4" ht="14.4">
      <c r="A1100" s="53" t="s">
        <v>2258</v>
      </c>
      <c r="B1100" s="53" t="s">
        <v>2259</v>
      </c>
      <c r="C1100" s="54" t="s">
        <v>89</v>
      </c>
      <c r="D1100" s="53" t="s">
        <v>121</v>
      </c>
    </row>
    <row r="1101" spans="1:4" ht="14.4">
      <c r="A1101" s="53" t="s">
        <v>2260</v>
      </c>
      <c r="B1101" s="53" t="s">
        <v>2261</v>
      </c>
      <c r="C1101" s="54" t="s">
        <v>87</v>
      </c>
      <c r="D1101" s="53" t="s">
        <v>318</v>
      </c>
    </row>
    <row r="1102" spans="1:4" ht="14.4">
      <c r="A1102" s="53" t="s">
        <v>2262</v>
      </c>
      <c r="B1102" s="53" t="s">
        <v>2263</v>
      </c>
      <c r="C1102" s="54" t="s">
        <v>87</v>
      </c>
      <c r="D1102" s="53" t="s">
        <v>318</v>
      </c>
    </row>
    <row r="1103" spans="1:4" ht="14.4">
      <c r="A1103" s="53" t="s">
        <v>2264</v>
      </c>
      <c r="B1103" s="53" t="s">
        <v>2265</v>
      </c>
      <c r="C1103" s="54" t="s">
        <v>87</v>
      </c>
      <c r="D1103" s="53" t="s">
        <v>318</v>
      </c>
    </row>
    <row r="1104" spans="1:4" ht="14.4">
      <c r="A1104" s="53" t="s">
        <v>3126</v>
      </c>
      <c r="B1104" s="53" t="s">
        <v>3127</v>
      </c>
      <c r="C1104" s="54" t="s">
        <v>88</v>
      </c>
      <c r="D1104" s="53"/>
    </row>
    <row r="1105" spans="1:4" ht="14.4">
      <c r="A1105" s="53" t="s">
        <v>3128</v>
      </c>
      <c r="B1105" s="53" t="s">
        <v>3129</v>
      </c>
      <c r="C1105" s="54" t="s">
        <v>59</v>
      </c>
      <c r="D1105" s="53"/>
    </row>
    <row r="1106" spans="1:4" ht="14.4">
      <c r="A1106" s="53" t="s">
        <v>2266</v>
      </c>
      <c r="B1106" s="53" t="s">
        <v>2267</v>
      </c>
      <c r="C1106" s="54" t="s">
        <v>88</v>
      </c>
      <c r="D1106" s="53"/>
    </row>
    <row r="1107" spans="1:4" ht="14.4">
      <c r="A1107" s="53" t="s">
        <v>2268</v>
      </c>
      <c r="B1107" s="53" t="s">
        <v>2269</v>
      </c>
      <c r="C1107" s="54" t="s">
        <v>87</v>
      </c>
      <c r="D1107" s="53" t="s">
        <v>318</v>
      </c>
    </row>
    <row r="1108" spans="1:4" ht="14.4">
      <c r="A1108" s="53" t="s">
        <v>2270</v>
      </c>
      <c r="B1108" s="53" t="s">
        <v>2271</v>
      </c>
      <c r="C1108" s="54" t="s">
        <v>89</v>
      </c>
      <c r="D1108" s="53" t="s">
        <v>318</v>
      </c>
    </row>
    <row r="1109" spans="1:4" ht="14.4">
      <c r="A1109" s="53" t="s">
        <v>2272</v>
      </c>
      <c r="B1109" s="53" t="s">
        <v>2273</v>
      </c>
      <c r="C1109" s="54" t="s">
        <v>89</v>
      </c>
      <c r="D1109" s="53" t="s">
        <v>130</v>
      </c>
    </row>
    <row r="1110" spans="1:4" ht="14.4">
      <c r="A1110" s="53" t="s">
        <v>2274</v>
      </c>
      <c r="B1110" s="53" t="s">
        <v>2275</v>
      </c>
      <c r="C1110" s="54" t="s">
        <v>87</v>
      </c>
      <c r="D1110" s="53" t="s">
        <v>256</v>
      </c>
    </row>
    <row r="1111" spans="1:4" ht="14.4">
      <c r="A1111" s="53" t="s">
        <v>2276</v>
      </c>
      <c r="B1111" s="53" t="s">
        <v>2277</v>
      </c>
      <c r="C1111" s="54" t="s">
        <v>87</v>
      </c>
      <c r="D1111" s="53" t="s">
        <v>256</v>
      </c>
    </row>
    <row r="1112" spans="1:4" ht="14.4">
      <c r="A1112" s="53" t="s">
        <v>2278</v>
      </c>
      <c r="B1112" s="53" t="s">
        <v>2279</v>
      </c>
      <c r="C1112" s="54" t="s">
        <v>89</v>
      </c>
      <c r="D1112" s="53" t="s">
        <v>288</v>
      </c>
    </row>
    <row r="1113" spans="1:4" ht="14.4">
      <c r="A1113" s="53" t="s">
        <v>2280</v>
      </c>
      <c r="B1113" s="53" t="s">
        <v>2281</v>
      </c>
      <c r="C1113" s="54" t="s">
        <v>89</v>
      </c>
      <c r="D1113" s="53" t="s">
        <v>265</v>
      </c>
    </row>
    <row r="1114" spans="1:4" ht="14.4">
      <c r="A1114" s="53" t="s">
        <v>2282</v>
      </c>
      <c r="B1114" s="53" t="s">
        <v>2283</v>
      </c>
      <c r="C1114" s="54" t="s">
        <v>85</v>
      </c>
      <c r="D1114" s="53"/>
    </row>
    <row r="1115" spans="1:4" ht="14.4">
      <c r="A1115" s="53" t="s">
        <v>2284</v>
      </c>
      <c r="B1115" s="53" t="s">
        <v>2285</v>
      </c>
      <c r="C1115" s="54" t="s">
        <v>85</v>
      </c>
      <c r="D1115" s="53"/>
    </row>
    <row r="1116" spans="1:4" ht="14.4">
      <c r="A1116" s="53" t="s">
        <v>2286</v>
      </c>
      <c r="B1116" s="53" t="s">
        <v>2287</v>
      </c>
      <c r="C1116" s="54" t="s">
        <v>87</v>
      </c>
      <c r="D1116" s="53" t="s">
        <v>998</v>
      </c>
    </row>
    <row r="1117" spans="1:4" ht="14.4">
      <c r="A1117" s="53" t="s">
        <v>3158</v>
      </c>
      <c r="B1117" s="53" t="s">
        <v>3159</v>
      </c>
      <c r="C1117" s="54" t="s">
        <v>87</v>
      </c>
      <c r="D1117" s="53" t="s">
        <v>998</v>
      </c>
    </row>
    <row r="1118" spans="1:4" ht="14.4">
      <c r="A1118" s="53" t="s">
        <v>3160</v>
      </c>
      <c r="B1118" s="53" t="s">
        <v>3161</v>
      </c>
      <c r="C1118" s="54" t="s">
        <v>87</v>
      </c>
      <c r="D1118" s="53" t="s">
        <v>998</v>
      </c>
    </row>
    <row r="1119" spans="1:4" ht="14.4">
      <c r="A1119" s="53" t="s">
        <v>2288</v>
      </c>
      <c r="B1119" s="53" t="s">
        <v>2289</v>
      </c>
      <c r="C1119" s="54" t="s">
        <v>87</v>
      </c>
      <c r="D1119" s="53" t="s">
        <v>998</v>
      </c>
    </row>
    <row r="1120" spans="1:4" ht="14.4">
      <c r="A1120" s="53" t="s">
        <v>2290</v>
      </c>
      <c r="B1120" s="53" t="s">
        <v>2291</v>
      </c>
      <c r="C1120" s="54" t="s">
        <v>87</v>
      </c>
      <c r="D1120" s="53" t="s">
        <v>998</v>
      </c>
    </row>
    <row r="1121" spans="1:4" ht="14.4">
      <c r="A1121" s="53" t="s">
        <v>2292</v>
      </c>
      <c r="B1121" s="53" t="s">
        <v>2293</v>
      </c>
      <c r="C1121" s="54" t="s">
        <v>87</v>
      </c>
      <c r="D1121" s="53" t="s">
        <v>998</v>
      </c>
    </row>
    <row r="1122" spans="1:4" ht="14.4">
      <c r="A1122" s="53" t="s">
        <v>2294</v>
      </c>
      <c r="B1122" s="53" t="s">
        <v>2295</v>
      </c>
      <c r="C1122" s="54" t="s">
        <v>85</v>
      </c>
      <c r="D1122" s="53"/>
    </row>
    <row r="1123" spans="1:4" ht="14.4">
      <c r="A1123" s="53" t="s">
        <v>2296</v>
      </c>
      <c r="B1123" s="53" t="s">
        <v>2297</v>
      </c>
      <c r="C1123" s="54" t="s">
        <v>87</v>
      </c>
      <c r="D1123" s="53" t="s">
        <v>998</v>
      </c>
    </row>
    <row r="1124" spans="1:4" ht="14.4">
      <c r="A1124" s="53" t="s">
        <v>2298</v>
      </c>
      <c r="B1124" s="53" t="s">
        <v>2299</v>
      </c>
      <c r="C1124" s="54" t="s">
        <v>87</v>
      </c>
      <c r="D1124" s="53" t="s">
        <v>998</v>
      </c>
    </row>
    <row r="1125" spans="1:4" ht="14.4">
      <c r="A1125" s="53" t="s">
        <v>2300</v>
      </c>
      <c r="B1125" s="53" t="s">
        <v>2301</v>
      </c>
      <c r="C1125" s="54" t="s">
        <v>85</v>
      </c>
      <c r="D1125" s="53"/>
    </row>
    <row r="1126" spans="1:4" ht="14.4">
      <c r="A1126" s="53" t="s">
        <v>2302</v>
      </c>
      <c r="B1126" s="53" t="s">
        <v>2303</v>
      </c>
      <c r="C1126" s="54" t="s">
        <v>89</v>
      </c>
      <c r="D1126" s="53" t="s">
        <v>288</v>
      </c>
    </row>
    <row r="1127" spans="1:4" ht="14.4">
      <c r="A1127" s="53" t="s">
        <v>2304</v>
      </c>
      <c r="B1127" s="53" t="s">
        <v>2305</v>
      </c>
      <c r="C1127" s="54" t="s">
        <v>89</v>
      </c>
      <c r="D1127" s="53" t="s">
        <v>288</v>
      </c>
    </row>
    <row r="1128" spans="1:4" ht="14.4">
      <c r="A1128" s="53" t="s">
        <v>2306</v>
      </c>
      <c r="B1128" s="53" t="s">
        <v>2307</v>
      </c>
      <c r="C1128" s="54" t="s">
        <v>89</v>
      </c>
      <c r="D1128" s="53" t="s">
        <v>288</v>
      </c>
    </row>
    <row r="1129" spans="1:4" ht="14.4">
      <c r="A1129" s="53" t="s">
        <v>2308</v>
      </c>
      <c r="B1129" s="53" t="s">
        <v>2309</v>
      </c>
      <c r="C1129" s="54" t="s">
        <v>89</v>
      </c>
      <c r="D1129" s="53" t="s">
        <v>288</v>
      </c>
    </row>
    <row r="1130" spans="1:4" ht="14.4">
      <c r="A1130" s="53" t="s">
        <v>2310</v>
      </c>
      <c r="B1130" s="53" t="s">
        <v>2311</v>
      </c>
      <c r="C1130" s="54" t="s">
        <v>89</v>
      </c>
      <c r="D1130" s="53" t="s">
        <v>288</v>
      </c>
    </row>
    <row r="1131" spans="1:4" ht="14.4">
      <c r="A1131" s="53" t="s">
        <v>2312</v>
      </c>
      <c r="B1131" s="53" t="s">
        <v>2313</v>
      </c>
      <c r="C1131" s="54" t="s">
        <v>89</v>
      </c>
      <c r="D1131" s="53" t="s">
        <v>288</v>
      </c>
    </row>
    <row r="1132" spans="1:4" ht="14.4">
      <c r="A1132" s="53" t="s">
        <v>2314</v>
      </c>
      <c r="B1132" s="53" t="s">
        <v>2315</v>
      </c>
      <c r="C1132" s="54" t="s">
        <v>85</v>
      </c>
      <c r="D1132" s="53"/>
    </row>
    <row r="1133" spans="1:4" ht="14.4">
      <c r="A1133" s="53" t="s">
        <v>2316</v>
      </c>
      <c r="B1133" s="53" t="s">
        <v>2317</v>
      </c>
      <c r="C1133" s="54" t="s">
        <v>89</v>
      </c>
      <c r="D1133" s="53" t="s">
        <v>288</v>
      </c>
    </row>
    <row r="1134" spans="1:4" ht="14.4">
      <c r="A1134" s="53" t="s">
        <v>2318</v>
      </c>
      <c r="B1134" s="53" t="s">
        <v>2319</v>
      </c>
      <c r="C1134" s="54" t="s">
        <v>85</v>
      </c>
      <c r="D1134" s="53"/>
    </row>
    <row r="1135" spans="1:4" ht="14.4">
      <c r="A1135" s="53" t="s">
        <v>2320</v>
      </c>
      <c r="B1135" s="53" t="s">
        <v>2321</v>
      </c>
      <c r="C1135" s="54" t="s">
        <v>85</v>
      </c>
      <c r="D1135" s="53"/>
    </row>
    <row r="1136" spans="1:4" ht="14.4">
      <c r="A1136" s="53" t="s">
        <v>2322</v>
      </c>
      <c r="B1136" s="53" t="s">
        <v>2323</v>
      </c>
      <c r="C1136" s="54" t="s">
        <v>87</v>
      </c>
      <c r="D1136" s="53" t="s">
        <v>256</v>
      </c>
    </row>
    <row r="1137" spans="1:4" ht="14.4">
      <c r="A1137" s="53" t="s">
        <v>2324</v>
      </c>
      <c r="B1137" s="53" t="s">
        <v>2325</v>
      </c>
      <c r="C1137" s="54" t="s">
        <v>87</v>
      </c>
      <c r="D1137" s="53" t="s">
        <v>256</v>
      </c>
    </row>
    <row r="1138" spans="1:4" ht="14.4">
      <c r="A1138" s="53" t="s">
        <v>2326</v>
      </c>
      <c r="B1138" s="53" t="s">
        <v>2327</v>
      </c>
      <c r="C1138" s="54" t="s">
        <v>87</v>
      </c>
      <c r="D1138" s="53" t="s">
        <v>256</v>
      </c>
    </row>
    <row r="1139" spans="1:4" ht="14.4">
      <c r="A1139" s="53" t="s">
        <v>2328</v>
      </c>
      <c r="B1139" s="53" t="s">
        <v>2329</v>
      </c>
      <c r="C1139" s="54" t="s">
        <v>87</v>
      </c>
      <c r="D1139" s="53" t="s">
        <v>256</v>
      </c>
    </row>
    <row r="1140" spans="1:4" ht="14.4">
      <c r="A1140" s="53" t="s">
        <v>2330</v>
      </c>
      <c r="B1140" s="53" t="s">
        <v>2331</v>
      </c>
      <c r="C1140" s="54" t="s">
        <v>87</v>
      </c>
      <c r="D1140" s="53" t="s">
        <v>256</v>
      </c>
    </row>
    <row r="1141" spans="1:4" ht="14.4">
      <c r="A1141" s="53" t="s">
        <v>2332</v>
      </c>
      <c r="B1141" s="53" t="s">
        <v>2333</v>
      </c>
      <c r="C1141" s="54" t="s">
        <v>89</v>
      </c>
      <c r="D1141" s="53" t="s">
        <v>288</v>
      </c>
    </row>
    <row r="1142" spans="1:4" ht="14.4">
      <c r="A1142" s="53" t="s">
        <v>2334</v>
      </c>
      <c r="B1142" s="53" t="s">
        <v>2335</v>
      </c>
      <c r="C1142" s="54" t="s">
        <v>88</v>
      </c>
      <c r="D1142" s="53"/>
    </row>
    <row r="1143" spans="1:4" ht="14.4">
      <c r="A1143" s="53" t="s">
        <v>2336</v>
      </c>
      <c r="B1143" s="53" t="s">
        <v>2337</v>
      </c>
      <c r="C1143" s="54" t="s">
        <v>88</v>
      </c>
      <c r="D1143" s="53"/>
    </row>
    <row r="1144" spans="1:4" ht="14.4">
      <c r="A1144" s="53" t="s">
        <v>2338</v>
      </c>
      <c r="B1144" s="53" t="s">
        <v>2339</v>
      </c>
      <c r="C1144" s="54" t="s">
        <v>88</v>
      </c>
      <c r="D1144" s="53"/>
    </row>
    <row r="1145" spans="1:4" ht="14.4">
      <c r="A1145" s="53" t="s">
        <v>2340</v>
      </c>
      <c r="B1145" s="53" t="s">
        <v>2341</v>
      </c>
      <c r="C1145" s="54" t="s">
        <v>87</v>
      </c>
      <c r="D1145" s="53" t="s">
        <v>318</v>
      </c>
    </row>
    <row r="1146" spans="1:4" ht="14.4">
      <c r="A1146" s="53" t="s">
        <v>2342</v>
      </c>
      <c r="B1146" s="53" t="s">
        <v>2343</v>
      </c>
      <c r="C1146" s="54" t="s">
        <v>84</v>
      </c>
      <c r="D1146" s="53" t="s">
        <v>241</v>
      </c>
    </row>
    <row r="1147" spans="1:4" ht="14.4">
      <c r="A1147" s="53" t="s">
        <v>2344</v>
      </c>
      <c r="B1147" s="53" t="s">
        <v>2345</v>
      </c>
      <c r="C1147" s="54" t="s">
        <v>85</v>
      </c>
      <c r="D1147" s="53"/>
    </row>
    <row r="1148" spans="1:4" ht="14.4">
      <c r="A1148" s="53" t="s">
        <v>2346</v>
      </c>
      <c r="B1148" s="53" t="s">
        <v>2347</v>
      </c>
      <c r="C1148" s="54" t="s">
        <v>89</v>
      </c>
      <c r="D1148" s="53" t="s">
        <v>631</v>
      </c>
    </row>
    <row r="1149" spans="1:4" ht="14.4">
      <c r="A1149" s="53" t="s">
        <v>2348</v>
      </c>
      <c r="B1149" s="53" t="s">
        <v>2349</v>
      </c>
      <c r="C1149" s="54" t="s">
        <v>89</v>
      </c>
      <c r="D1149" s="53" t="s">
        <v>631</v>
      </c>
    </row>
    <row r="1150" spans="1:4" ht="14.4">
      <c r="A1150" s="53" t="s">
        <v>2350</v>
      </c>
      <c r="B1150" s="53" t="s">
        <v>2351</v>
      </c>
      <c r="C1150" s="54" t="s">
        <v>89</v>
      </c>
      <c r="D1150" s="53" t="s">
        <v>631</v>
      </c>
    </row>
    <row r="1151" spans="1:4" ht="14.4">
      <c r="A1151" s="53" t="s">
        <v>3130</v>
      </c>
      <c r="B1151" s="53" t="s">
        <v>3131</v>
      </c>
      <c r="C1151" s="54" t="s">
        <v>87</v>
      </c>
      <c r="D1151" s="53" t="s">
        <v>318</v>
      </c>
    </row>
    <row r="1152" spans="1:4" ht="14.4">
      <c r="A1152" s="53" t="s">
        <v>3132</v>
      </c>
      <c r="B1152" s="53" t="s">
        <v>3133</v>
      </c>
      <c r="C1152" s="54" t="s">
        <v>87</v>
      </c>
      <c r="D1152" s="53" t="s">
        <v>318</v>
      </c>
    </row>
    <row r="1153" spans="1:4" ht="14.4">
      <c r="A1153" s="53" t="s">
        <v>2352</v>
      </c>
      <c r="B1153" s="53" t="s">
        <v>2353</v>
      </c>
      <c r="C1153" s="54" t="s">
        <v>88</v>
      </c>
      <c r="D1153" s="53"/>
    </row>
    <row r="1154" spans="1:4" ht="14.4">
      <c r="A1154" s="53" t="s">
        <v>2354</v>
      </c>
      <c r="B1154" s="53" t="s">
        <v>2355</v>
      </c>
      <c r="C1154" s="54" t="s">
        <v>84</v>
      </c>
      <c r="D1154" s="53" t="s">
        <v>241</v>
      </c>
    </row>
    <row r="1155" spans="1:4" ht="14.4">
      <c r="A1155" s="53" t="s">
        <v>2356</v>
      </c>
      <c r="B1155" s="53" t="s">
        <v>2357</v>
      </c>
      <c r="C1155" s="54" t="s">
        <v>88</v>
      </c>
      <c r="D1155" s="53"/>
    </row>
    <row r="1156" spans="1:4" ht="14.4">
      <c r="A1156" s="53" t="s">
        <v>2358</v>
      </c>
      <c r="B1156" s="53" t="s">
        <v>2359</v>
      </c>
      <c r="C1156" s="54" t="s">
        <v>88</v>
      </c>
      <c r="D1156" s="53"/>
    </row>
    <row r="1157" spans="1:4" ht="14.4">
      <c r="A1157" s="53" t="s">
        <v>2360</v>
      </c>
      <c r="B1157" s="53" t="s">
        <v>2361</v>
      </c>
      <c r="C1157" s="54" t="s">
        <v>88</v>
      </c>
      <c r="D1157" s="53"/>
    </row>
    <row r="1158" spans="1:4" ht="14.4">
      <c r="A1158" s="53" t="s">
        <v>2362</v>
      </c>
      <c r="B1158" s="53" t="s">
        <v>2363</v>
      </c>
      <c r="C1158" s="54" t="s">
        <v>88</v>
      </c>
      <c r="D1158" s="53"/>
    </row>
    <row r="1159" spans="1:4" ht="14.4">
      <c r="A1159" s="53" t="s">
        <v>2364</v>
      </c>
      <c r="B1159" s="53" t="s">
        <v>2365</v>
      </c>
      <c r="C1159" s="54" t="s">
        <v>88</v>
      </c>
      <c r="D1159" s="53"/>
    </row>
    <row r="1160" spans="1:4" ht="14.4">
      <c r="A1160" s="53" t="s">
        <v>2366</v>
      </c>
      <c r="B1160" s="53" t="s">
        <v>2367</v>
      </c>
      <c r="C1160" s="54" t="s">
        <v>84</v>
      </c>
      <c r="D1160" s="53" t="s">
        <v>241</v>
      </c>
    </row>
    <row r="1161" spans="1:4" ht="14.4">
      <c r="A1161" s="53" t="s">
        <v>2368</v>
      </c>
      <c r="B1161" s="53" t="s">
        <v>2369</v>
      </c>
      <c r="C1161" s="54" t="s">
        <v>85</v>
      </c>
      <c r="D1161" s="53"/>
    </row>
    <row r="1162" spans="1:4" ht="14.4">
      <c r="A1162" s="53" t="s">
        <v>2370</v>
      </c>
      <c r="B1162" s="53" t="s">
        <v>2371</v>
      </c>
      <c r="C1162" s="54" t="s">
        <v>84</v>
      </c>
      <c r="D1162" s="53" t="s">
        <v>241</v>
      </c>
    </row>
    <row r="1163" spans="1:4" ht="14.4">
      <c r="A1163" s="53" t="s">
        <v>2372</v>
      </c>
      <c r="B1163" s="53" t="s">
        <v>2373</v>
      </c>
      <c r="C1163" s="54" t="s">
        <v>89</v>
      </c>
      <c r="D1163" s="53" t="s">
        <v>631</v>
      </c>
    </row>
    <row r="1164" spans="1:4" ht="14.4">
      <c r="A1164" s="53" t="s">
        <v>2374</v>
      </c>
      <c r="B1164" s="53" t="s">
        <v>2375</v>
      </c>
      <c r="C1164" s="54" t="s">
        <v>89</v>
      </c>
      <c r="D1164" s="53" t="s">
        <v>631</v>
      </c>
    </row>
    <row r="1165" spans="1:4" ht="14.4">
      <c r="A1165" s="53" t="s">
        <v>2376</v>
      </c>
      <c r="B1165" s="53" t="s">
        <v>2377</v>
      </c>
      <c r="C1165" s="54" t="s">
        <v>89</v>
      </c>
      <c r="D1165" s="53" t="s">
        <v>631</v>
      </c>
    </row>
    <row r="1166" spans="1:4" ht="14.4">
      <c r="A1166" s="53" t="s">
        <v>2378</v>
      </c>
      <c r="B1166" s="53" t="s">
        <v>2379</v>
      </c>
      <c r="C1166" s="54" t="s">
        <v>89</v>
      </c>
      <c r="D1166" s="53" t="s">
        <v>631</v>
      </c>
    </row>
    <row r="1167" spans="1:4" ht="14.4">
      <c r="A1167" s="53" t="s">
        <v>2380</v>
      </c>
      <c r="B1167" s="53" t="s">
        <v>2381</v>
      </c>
      <c r="C1167" s="54" t="s">
        <v>89</v>
      </c>
      <c r="D1167" s="53" t="s">
        <v>631</v>
      </c>
    </row>
    <row r="1168" spans="1:4" ht="14.4">
      <c r="A1168" s="53" t="s">
        <v>2382</v>
      </c>
      <c r="B1168" s="53" t="s">
        <v>2383</v>
      </c>
      <c r="C1168" s="54" t="s">
        <v>89</v>
      </c>
      <c r="D1168" s="53" t="s">
        <v>631</v>
      </c>
    </row>
    <row r="1169" spans="1:4" ht="14.4">
      <c r="A1169" s="53" t="s">
        <v>2384</v>
      </c>
      <c r="B1169" s="53" t="s">
        <v>2385</v>
      </c>
      <c r="C1169" s="54" t="s">
        <v>89</v>
      </c>
      <c r="D1169" s="53" t="s">
        <v>631</v>
      </c>
    </row>
    <row r="1170" spans="1:4" ht="14.4">
      <c r="A1170" s="53" t="s">
        <v>2386</v>
      </c>
      <c r="B1170" s="53" t="s">
        <v>2387</v>
      </c>
      <c r="C1170" s="54" t="s">
        <v>89</v>
      </c>
      <c r="D1170" s="53" t="s">
        <v>631</v>
      </c>
    </row>
    <row r="1171" spans="1:4" ht="14.4">
      <c r="A1171" s="53" t="s">
        <v>2388</v>
      </c>
      <c r="B1171" s="53" t="s">
        <v>2389</v>
      </c>
      <c r="C1171" s="54" t="s">
        <v>89</v>
      </c>
      <c r="D1171" s="53" t="s">
        <v>631</v>
      </c>
    </row>
    <row r="1172" spans="1:4" ht="14.4">
      <c r="A1172" s="53" t="s">
        <v>2390</v>
      </c>
      <c r="B1172" s="53" t="s">
        <v>2391</v>
      </c>
      <c r="C1172" s="54" t="s">
        <v>89</v>
      </c>
      <c r="D1172" s="53" t="s">
        <v>631</v>
      </c>
    </row>
    <row r="1173" spans="1:4" ht="14.4">
      <c r="A1173" s="53" t="s">
        <v>2392</v>
      </c>
      <c r="B1173" s="53" t="s">
        <v>2393</v>
      </c>
      <c r="C1173" s="54" t="s">
        <v>89</v>
      </c>
      <c r="D1173" s="53" t="s">
        <v>631</v>
      </c>
    </row>
    <row r="1174" spans="1:4" ht="14.4">
      <c r="A1174" s="53" t="s">
        <v>2394</v>
      </c>
      <c r="B1174" s="53" t="s">
        <v>2395</v>
      </c>
      <c r="C1174" s="54" t="s">
        <v>89</v>
      </c>
      <c r="D1174" s="53" t="s">
        <v>631</v>
      </c>
    </row>
    <row r="1175" spans="1:4" ht="14.4">
      <c r="A1175" s="53" t="s">
        <v>2396</v>
      </c>
      <c r="B1175" s="53" t="s">
        <v>2397</v>
      </c>
      <c r="C1175" s="54" t="s">
        <v>89</v>
      </c>
      <c r="D1175" s="53" t="s">
        <v>631</v>
      </c>
    </row>
    <row r="1176" spans="1:4" ht="14.4">
      <c r="A1176" s="53" t="s">
        <v>3134</v>
      </c>
      <c r="B1176" s="53" t="s">
        <v>3135</v>
      </c>
      <c r="C1176" s="54" t="s">
        <v>89</v>
      </c>
      <c r="D1176" s="53" t="s">
        <v>288</v>
      </c>
    </row>
    <row r="1177" spans="1:4" ht="14.4">
      <c r="A1177" s="53" t="s">
        <v>2398</v>
      </c>
      <c r="B1177" s="53" t="s">
        <v>2399</v>
      </c>
      <c r="C1177" s="54" t="s">
        <v>89</v>
      </c>
      <c r="D1177" s="53" t="s">
        <v>288</v>
      </c>
    </row>
    <row r="1178" spans="1:4" ht="14.4">
      <c r="A1178" s="53" t="s">
        <v>2400</v>
      </c>
      <c r="B1178" s="53" t="s">
        <v>2401</v>
      </c>
      <c r="C1178" s="54" t="s">
        <v>89</v>
      </c>
      <c r="D1178" s="53" t="s">
        <v>288</v>
      </c>
    </row>
    <row r="1179" spans="1:4" ht="14.4">
      <c r="A1179" s="53" t="s">
        <v>2402</v>
      </c>
      <c r="B1179" s="53" t="s">
        <v>2403</v>
      </c>
      <c r="C1179" s="54" t="s">
        <v>89</v>
      </c>
      <c r="D1179" s="53" t="s">
        <v>288</v>
      </c>
    </row>
    <row r="1180" spans="1:4" ht="14.4">
      <c r="A1180" s="53" t="s">
        <v>2404</v>
      </c>
      <c r="B1180" s="53" t="s">
        <v>2405</v>
      </c>
      <c r="C1180" s="54" t="s">
        <v>89</v>
      </c>
      <c r="D1180" s="53" t="s">
        <v>288</v>
      </c>
    </row>
    <row r="1181" spans="1:4" ht="14.4">
      <c r="A1181" s="53" t="s">
        <v>2406</v>
      </c>
      <c r="B1181" s="53" t="s">
        <v>2407</v>
      </c>
      <c r="C1181" s="54" t="s">
        <v>89</v>
      </c>
      <c r="D1181" s="53" t="s">
        <v>288</v>
      </c>
    </row>
    <row r="1182" spans="1:4" ht="14.4">
      <c r="A1182" s="53" t="s">
        <v>2408</v>
      </c>
      <c r="B1182" s="53" t="s">
        <v>2409</v>
      </c>
      <c r="C1182" s="54" t="s">
        <v>89</v>
      </c>
      <c r="D1182" s="53" t="s">
        <v>288</v>
      </c>
    </row>
    <row r="1183" spans="1:4" ht="14.4">
      <c r="A1183" s="53" t="s">
        <v>2410</v>
      </c>
      <c r="B1183" s="53" t="s">
        <v>2411</v>
      </c>
      <c r="C1183" s="54" t="s">
        <v>89</v>
      </c>
      <c r="D1183" s="53" t="s">
        <v>288</v>
      </c>
    </row>
    <row r="1184" spans="1:4" ht="14.4">
      <c r="A1184" s="53" t="s">
        <v>2412</v>
      </c>
      <c r="B1184" s="53" t="s">
        <v>2413</v>
      </c>
      <c r="C1184" s="54" t="s">
        <v>89</v>
      </c>
      <c r="D1184" s="53" t="s">
        <v>130</v>
      </c>
    </row>
    <row r="1185" spans="1:4" ht="14.4">
      <c r="A1185" s="53" t="s">
        <v>2414</v>
      </c>
      <c r="B1185" s="53" t="s">
        <v>2415</v>
      </c>
      <c r="C1185" s="54" t="s">
        <v>89</v>
      </c>
      <c r="D1185" s="53" t="s">
        <v>130</v>
      </c>
    </row>
    <row r="1186" spans="1:4" ht="14.4">
      <c r="A1186" s="53" t="s">
        <v>2416</v>
      </c>
      <c r="B1186" s="53" t="s">
        <v>2417</v>
      </c>
      <c r="C1186" s="54" t="s">
        <v>89</v>
      </c>
      <c r="D1186" s="53" t="s">
        <v>130</v>
      </c>
    </row>
    <row r="1187" spans="1:4" ht="14.4">
      <c r="A1187" s="53" t="s">
        <v>2418</v>
      </c>
      <c r="B1187" s="53" t="s">
        <v>2419</v>
      </c>
      <c r="C1187" s="54" t="s">
        <v>89</v>
      </c>
      <c r="D1187" s="53" t="s">
        <v>130</v>
      </c>
    </row>
    <row r="1188" spans="1:4" ht="14.4">
      <c r="A1188" s="53" t="s">
        <v>2420</v>
      </c>
      <c r="B1188" s="53" t="s">
        <v>2421</v>
      </c>
      <c r="C1188" s="54" t="s">
        <v>89</v>
      </c>
      <c r="D1188" s="53" t="s">
        <v>130</v>
      </c>
    </row>
    <row r="1189" spans="1:4" ht="14.4">
      <c r="A1189" s="53" t="s">
        <v>2422</v>
      </c>
      <c r="B1189" s="53" t="s">
        <v>2423</v>
      </c>
      <c r="C1189" s="54" t="s">
        <v>89</v>
      </c>
      <c r="D1189" s="53" t="s">
        <v>130</v>
      </c>
    </row>
    <row r="1190" spans="1:4" ht="14.4">
      <c r="A1190" s="53" t="s">
        <v>2424</v>
      </c>
      <c r="B1190" s="53" t="s">
        <v>2425</v>
      </c>
      <c r="C1190" s="54" t="s">
        <v>89</v>
      </c>
      <c r="D1190" s="53" t="s">
        <v>130</v>
      </c>
    </row>
    <row r="1191" spans="1:4" ht="14.4">
      <c r="A1191" s="53" t="s">
        <v>2426</v>
      </c>
      <c r="B1191" s="53" t="s">
        <v>2427</v>
      </c>
      <c r="C1191" s="54" t="s">
        <v>89</v>
      </c>
      <c r="D1191" s="53" t="s">
        <v>130</v>
      </c>
    </row>
    <row r="1192" spans="1:4" ht="14.4">
      <c r="A1192" s="53" t="s">
        <v>2428</v>
      </c>
      <c r="B1192" s="53" t="s">
        <v>2429</v>
      </c>
      <c r="C1192" s="54" t="s">
        <v>89</v>
      </c>
      <c r="D1192" s="53" t="s">
        <v>130</v>
      </c>
    </row>
    <row r="1193" spans="1:4" ht="14.4">
      <c r="A1193" s="53" t="s">
        <v>2430</v>
      </c>
      <c r="B1193" s="53" t="s">
        <v>2431</v>
      </c>
      <c r="C1193" s="54" t="s">
        <v>89</v>
      </c>
      <c r="D1193" s="53" t="s">
        <v>130</v>
      </c>
    </row>
    <row r="1194" spans="1:4" ht="14.4">
      <c r="A1194" s="53" t="s">
        <v>2432</v>
      </c>
      <c r="B1194" s="53" t="s">
        <v>2433</v>
      </c>
      <c r="C1194" s="54" t="s">
        <v>89</v>
      </c>
      <c r="D1194" s="53" t="s">
        <v>130</v>
      </c>
    </row>
    <row r="1195" spans="1:4" ht="14.4">
      <c r="A1195" s="53" t="s">
        <v>2434</v>
      </c>
      <c r="B1195" s="53" t="s">
        <v>2435</v>
      </c>
      <c r="C1195" s="54" t="s">
        <v>89</v>
      </c>
      <c r="D1195" s="53" t="s">
        <v>130</v>
      </c>
    </row>
    <row r="1196" spans="1:4" ht="14.4">
      <c r="A1196" s="53" t="s">
        <v>2436</v>
      </c>
      <c r="B1196" s="53" t="s">
        <v>2437</v>
      </c>
      <c r="C1196" s="54" t="s">
        <v>89</v>
      </c>
      <c r="D1196" s="53" t="s">
        <v>130</v>
      </c>
    </row>
    <row r="1197" spans="1:4" ht="14.4">
      <c r="A1197" s="53" t="s">
        <v>2438</v>
      </c>
      <c r="B1197" s="53" t="s">
        <v>2439</v>
      </c>
      <c r="C1197" s="54" t="s">
        <v>89</v>
      </c>
      <c r="D1197" s="53" t="s">
        <v>130</v>
      </c>
    </row>
    <row r="1198" spans="1:4" ht="14.4">
      <c r="A1198" s="53" t="s">
        <v>2440</v>
      </c>
      <c r="B1198" s="53" t="s">
        <v>2441</v>
      </c>
      <c r="C1198" s="54" t="s">
        <v>89</v>
      </c>
      <c r="D1198" s="53" t="s">
        <v>288</v>
      </c>
    </row>
    <row r="1199" spans="1:4" ht="14.4">
      <c r="A1199" s="53" t="s">
        <v>2442</v>
      </c>
      <c r="B1199" s="53" t="s">
        <v>2443</v>
      </c>
      <c r="C1199" s="54" t="s">
        <v>89</v>
      </c>
      <c r="D1199" s="53" t="s">
        <v>288</v>
      </c>
    </row>
    <row r="1200" spans="1:4" ht="14.4">
      <c r="A1200" s="53" t="s">
        <v>2444</v>
      </c>
      <c r="B1200" s="53" t="s">
        <v>2445</v>
      </c>
      <c r="C1200" s="54" t="s">
        <v>89</v>
      </c>
      <c r="D1200" s="53" t="s">
        <v>288</v>
      </c>
    </row>
    <row r="1201" spans="1:4" ht="14.4">
      <c r="A1201" s="53" t="s">
        <v>2446</v>
      </c>
      <c r="B1201" s="53" t="s">
        <v>2447</v>
      </c>
      <c r="C1201" s="54" t="s">
        <v>89</v>
      </c>
      <c r="D1201" s="53" t="s">
        <v>288</v>
      </c>
    </row>
    <row r="1202" spans="1:4" ht="14.4">
      <c r="A1202" s="53" t="s">
        <v>2448</v>
      </c>
      <c r="B1202" s="53" t="s">
        <v>2449</v>
      </c>
      <c r="C1202" s="54" t="s">
        <v>88</v>
      </c>
      <c r="D1202" s="53"/>
    </row>
    <row r="1203" spans="1:4" ht="14.4">
      <c r="A1203" s="53" t="s">
        <v>2450</v>
      </c>
      <c r="B1203" s="53" t="s">
        <v>2451</v>
      </c>
      <c r="C1203" s="54" t="s">
        <v>88</v>
      </c>
      <c r="D1203" s="53"/>
    </row>
    <row r="1204" spans="1:4" ht="14.4">
      <c r="A1204" s="53" t="s">
        <v>2452</v>
      </c>
      <c r="B1204" s="53" t="s">
        <v>2453</v>
      </c>
      <c r="C1204" s="54" t="s">
        <v>88</v>
      </c>
      <c r="D1204" s="53"/>
    </row>
    <row r="1205" spans="1:4" ht="14.4">
      <c r="A1205" s="53" t="s">
        <v>2454</v>
      </c>
      <c r="B1205" s="53" t="s">
        <v>2455</v>
      </c>
      <c r="C1205" s="54" t="s">
        <v>89</v>
      </c>
      <c r="D1205" s="53" t="s">
        <v>288</v>
      </c>
    </row>
    <row r="1206" spans="1:4" ht="14.4">
      <c r="A1206" s="53" t="s">
        <v>2456</v>
      </c>
      <c r="B1206" s="53" t="s">
        <v>2457</v>
      </c>
      <c r="C1206" s="54" t="s">
        <v>89</v>
      </c>
      <c r="D1206" s="53" t="s">
        <v>288</v>
      </c>
    </row>
    <row r="1207" spans="1:4" ht="14.4">
      <c r="A1207" s="53" t="s">
        <v>2458</v>
      </c>
      <c r="B1207" s="53" t="s">
        <v>2459</v>
      </c>
      <c r="C1207" s="54" t="s">
        <v>88</v>
      </c>
      <c r="D1207" s="53"/>
    </row>
    <row r="1208" spans="1:4" ht="14.4">
      <c r="A1208" s="53" t="s">
        <v>2460</v>
      </c>
      <c r="B1208" s="53" t="s">
        <v>2461</v>
      </c>
      <c r="C1208" s="54" t="s">
        <v>89</v>
      </c>
      <c r="D1208" s="53" t="s">
        <v>288</v>
      </c>
    </row>
    <row r="1209" spans="1:4" ht="14.4">
      <c r="A1209" s="53" t="s">
        <v>2462</v>
      </c>
      <c r="B1209" s="53" t="s">
        <v>2463</v>
      </c>
      <c r="C1209" s="54" t="s">
        <v>89</v>
      </c>
      <c r="D1209" s="53" t="s">
        <v>288</v>
      </c>
    </row>
    <row r="1210" spans="1:4" ht="14.4">
      <c r="A1210" s="53" t="s">
        <v>2464</v>
      </c>
      <c r="B1210" s="53" t="s">
        <v>2465</v>
      </c>
      <c r="C1210" s="54" t="s">
        <v>89</v>
      </c>
      <c r="D1210" s="53" t="s">
        <v>288</v>
      </c>
    </row>
    <row r="1211" spans="1:4" ht="14.4">
      <c r="A1211" s="53" t="s">
        <v>2466</v>
      </c>
      <c r="B1211" s="53" t="s">
        <v>2467</v>
      </c>
      <c r="C1211" s="54" t="s">
        <v>88</v>
      </c>
      <c r="D1211" s="53"/>
    </row>
    <row r="1212" spans="1:4" ht="14.4">
      <c r="A1212" s="53" t="s">
        <v>2468</v>
      </c>
      <c r="B1212" s="53" t="s">
        <v>2469</v>
      </c>
      <c r="C1212" s="54" t="s">
        <v>89</v>
      </c>
      <c r="D1212" s="53" t="s">
        <v>288</v>
      </c>
    </row>
    <row r="1213" spans="1:4" ht="14.4">
      <c r="A1213" s="53" t="s">
        <v>2470</v>
      </c>
      <c r="B1213" s="53" t="s">
        <v>2471</v>
      </c>
      <c r="C1213" s="54" t="s">
        <v>59</v>
      </c>
      <c r="D1213" s="53"/>
    </row>
    <row r="1214" spans="1:4" ht="14.4">
      <c r="A1214" s="53" t="s">
        <v>2472</v>
      </c>
      <c r="B1214" s="53" t="s">
        <v>2473</v>
      </c>
      <c r="C1214" s="54" t="s">
        <v>88</v>
      </c>
      <c r="D1214" s="53"/>
    </row>
    <row r="1215" spans="1:4" ht="14.4">
      <c r="A1215" s="53" t="s">
        <v>2474</v>
      </c>
      <c r="B1215" s="53" t="s">
        <v>2475</v>
      </c>
      <c r="C1215" s="54" t="s">
        <v>89</v>
      </c>
      <c r="D1215" s="53" t="s">
        <v>288</v>
      </c>
    </row>
    <row r="1216" spans="1:4" ht="14.4">
      <c r="A1216" s="53" t="s">
        <v>2476</v>
      </c>
      <c r="B1216" s="53" t="s">
        <v>2477</v>
      </c>
      <c r="C1216" s="54" t="s">
        <v>85</v>
      </c>
      <c r="D1216" s="53"/>
    </row>
    <row r="1217" spans="1:4" ht="14.4">
      <c r="A1217" s="53" t="s">
        <v>2478</v>
      </c>
      <c r="B1217" s="53" t="s">
        <v>2479</v>
      </c>
      <c r="C1217" s="54" t="s">
        <v>85</v>
      </c>
      <c r="D1217" s="53"/>
    </row>
    <row r="1218" spans="1:4" ht="14.4">
      <c r="A1218" s="53" t="s">
        <v>2480</v>
      </c>
      <c r="B1218" s="53" t="s">
        <v>2481</v>
      </c>
      <c r="C1218" s="54" t="s">
        <v>85</v>
      </c>
      <c r="D1218" s="53"/>
    </row>
    <row r="1219" spans="1:4" ht="14.4">
      <c r="A1219" s="53" t="s">
        <v>2482</v>
      </c>
      <c r="B1219" s="53" t="s">
        <v>2483</v>
      </c>
      <c r="C1219" s="54" t="s">
        <v>89</v>
      </c>
      <c r="D1219" s="53" t="s">
        <v>288</v>
      </c>
    </row>
    <row r="1220" spans="1:4" ht="14.4">
      <c r="A1220" s="53" t="s">
        <v>2484</v>
      </c>
      <c r="B1220" s="53" t="s">
        <v>2485</v>
      </c>
      <c r="C1220" s="54" t="s">
        <v>89</v>
      </c>
      <c r="D1220" s="53" t="s">
        <v>288</v>
      </c>
    </row>
    <row r="1221" spans="1:4" ht="14.4">
      <c r="A1221" s="53" t="s">
        <v>2486</v>
      </c>
      <c r="B1221" s="53" t="s">
        <v>2487</v>
      </c>
      <c r="C1221" s="54" t="s">
        <v>89</v>
      </c>
      <c r="D1221" s="53" t="s">
        <v>288</v>
      </c>
    </row>
    <row r="1222" spans="1:4" ht="14.4">
      <c r="A1222" s="53" t="s">
        <v>2488</v>
      </c>
      <c r="B1222" s="53" t="s">
        <v>2489</v>
      </c>
      <c r="C1222" s="54" t="s">
        <v>89</v>
      </c>
      <c r="D1222" s="53" t="s">
        <v>288</v>
      </c>
    </row>
    <row r="1223" spans="1:4" ht="14.4">
      <c r="A1223" s="53" t="s">
        <v>2490</v>
      </c>
      <c r="B1223" s="53" t="s">
        <v>2491</v>
      </c>
      <c r="C1223" s="54" t="s">
        <v>89</v>
      </c>
      <c r="D1223" s="53" t="s">
        <v>288</v>
      </c>
    </row>
    <row r="1224" spans="1:4" ht="14.4">
      <c r="A1224" s="53" t="s">
        <v>2492</v>
      </c>
      <c r="B1224" s="53" t="s">
        <v>2493</v>
      </c>
      <c r="C1224" s="54" t="s">
        <v>85</v>
      </c>
      <c r="D1224" s="53"/>
    </row>
    <row r="1225" spans="1:4" ht="14.4">
      <c r="A1225" s="53" t="s">
        <v>2494</v>
      </c>
      <c r="B1225" s="53" t="s">
        <v>2495</v>
      </c>
      <c r="C1225" s="54" t="s">
        <v>89</v>
      </c>
      <c r="D1225" s="53" t="s">
        <v>121</v>
      </c>
    </row>
    <row r="1226" spans="1:4" ht="14.4">
      <c r="A1226" s="53" t="s">
        <v>2496</v>
      </c>
      <c r="B1226" s="53" t="s">
        <v>2497</v>
      </c>
      <c r="C1226" s="54" t="s">
        <v>88</v>
      </c>
      <c r="D1226" s="53"/>
    </row>
    <row r="1227" spans="1:4" ht="14.4">
      <c r="A1227" s="53" t="s">
        <v>2498</v>
      </c>
      <c r="B1227" s="53" t="s">
        <v>2499</v>
      </c>
      <c r="C1227" s="54" t="s">
        <v>88</v>
      </c>
      <c r="D1227" s="53"/>
    </row>
    <row r="1228" spans="1:4" ht="14.4">
      <c r="A1228" s="53" t="s">
        <v>38</v>
      </c>
      <c r="B1228" s="53" t="s">
        <v>2500</v>
      </c>
      <c r="C1228" s="54" t="s">
        <v>88</v>
      </c>
      <c r="D1228" s="53"/>
    </row>
    <row r="1229" spans="1:4" ht="14.4">
      <c r="A1229" s="53" t="s">
        <v>2501</v>
      </c>
      <c r="B1229" s="53" t="s">
        <v>2502</v>
      </c>
      <c r="C1229" s="54" t="s">
        <v>87</v>
      </c>
      <c r="D1229" s="53" t="s">
        <v>318</v>
      </c>
    </row>
    <row r="1230" spans="1:4" ht="14.4">
      <c r="A1230" s="53" t="s">
        <v>2503</v>
      </c>
      <c r="B1230" s="53" t="s">
        <v>2504</v>
      </c>
      <c r="C1230" s="54" t="s">
        <v>85</v>
      </c>
      <c r="D1230" s="53"/>
    </row>
    <row r="1231" spans="1:4" ht="14.4">
      <c r="A1231" s="53" t="s">
        <v>2505</v>
      </c>
      <c r="B1231" s="53" t="s">
        <v>2506</v>
      </c>
      <c r="C1231" s="54" t="s">
        <v>88</v>
      </c>
      <c r="D1231" s="53"/>
    </row>
    <row r="1232" spans="1:4" ht="14.4">
      <c r="A1232" s="53" t="s">
        <v>2507</v>
      </c>
      <c r="B1232" s="53" t="s">
        <v>2508</v>
      </c>
      <c r="C1232" s="54" t="s">
        <v>88</v>
      </c>
      <c r="D1232" s="53"/>
    </row>
    <row r="1233" spans="1:4" ht="14.4">
      <c r="A1233" s="53" t="s">
        <v>2509</v>
      </c>
      <c r="B1233" s="53" t="s">
        <v>3136</v>
      </c>
      <c r="C1233" s="54" t="s">
        <v>88</v>
      </c>
      <c r="D1233" s="53"/>
    </row>
    <row r="1234" spans="1:4" ht="14.4">
      <c r="A1234" s="53" t="s">
        <v>2510</v>
      </c>
      <c r="B1234" s="53" t="s">
        <v>2511</v>
      </c>
      <c r="C1234" s="54" t="s">
        <v>87</v>
      </c>
      <c r="D1234" s="53" t="s">
        <v>256</v>
      </c>
    </row>
    <row r="1235" spans="1:4" ht="14.4">
      <c r="A1235" s="53" t="s">
        <v>2512</v>
      </c>
      <c r="B1235" s="53" t="s">
        <v>2513</v>
      </c>
      <c r="C1235" s="54" t="s">
        <v>87</v>
      </c>
      <c r="D1235" s="53" t="s">
        <v>256</v>
      </c>
    </row>
    <row r="1236" spans="1:4" ht="14.4">
      <c r="A1236" s="53" t="s">
        <v>2514</v>
      </c>
      <c r="B1236" s="53" t="s">
        <v>2515</v>
      </c>
      <c r="C1236" s="54" t="s">
        <v>88</v>
      </c>
      <c r="D1236" s="53"/>
    </row>
    <row r="1237" spans="1:4" ht="14.4">
      <c r="A1237" s="53" t="s">
        <v>2516</v>
      </c>
      <c r="B1237" s="53" t="s">
        <v>2517</v>
      </c>
      <c r="C1237" s="54" t="s">
        <v>87</v>
      </c>
      <c r="D1237" s="53" t="s">
        <v>256</v>
      </c>
    </row>
    <row r="1238" spans="1:4" ht="14.4">
      <c r="A1238" s="53" t="s">
        <v>2518</v>
      </c>
      <c r="B1238" s="53" t="s">
        <v>2519</v>
      </c>
      <c r="C1238" s="54" t="s">
        <v>88</v>
      </c>
      <c r="D1238" s="53"/>
    </row>
    <row r="1239" spans="1:4" ht="14.4">
      <c r="A1239" s="53" t="s">
        <v>2520</v>
      </c>
      <c r="B1239" s="53" t="s">
        <v>2521</v>
      </c>
      <c r="C1239" s="54" t="s">
        <v>84</v>
      </c>
      <c r="D1239" s="53" t="s">
        <v>241</v>
      </c>
    </row>
    <row r="1240" spans="1:4" ht="14.4">
      <c r="A1240" s="53" t="s">
        <v>2522</v>
      </c>
      <c r="B1240" s="53" t="s">
        <v>2523</v>
      </c>
      <c r="C1240" s="54" t="s">
        <v>88</v>
      </c>
      <c r="D1240" s="53"/>
    </row>
    <row r="1241" spans="1:4" ht="14.4">
      <c r="A1241" s="53" t="s">
        <v>2524</v>
      </c>
      <c r="B1241" s="53" t="s">
        <v>2525</v>
      </c>
      <c r="C1241" s="54" t="s">
        <v>84</v>
      </c>
      <c r="D1241" s="53" t="s">
        <v>241</v>
      </c>
    </row>
    <row r="1242" spans="1:4" ht="14.4">
      <c r="A1242" s="53" t="s">
        <v>2526</v>
      </c>
      <c r="B1242" s="53" t="s">
        <v>2527</v>
      </c>
      <c r="C1242" s="54" t="s">
        <v>88</v>
      </c>
      <c r="D1242" s="53"/>
    </row>
    <row r="1243" spans="1:4" ht="14.4">
      <c r="A1243" s="53" t="s">
        <v>2528</v>
      </c>
      <c r="B1243" s="53" t="s">
        <v>2529</v>
      </c>
      <c r="C1243" s="54" t="s">
        <v>84</v>
      </c>
      <c r="D1243" s="53" t="s">
        <v>241</v>
      </c>
    </row>
    <row r="1244" spans="1:4" ht="14.4">
      <c r="A1244" s="53" t="s">
        <v>2530</v>
      </c>
      <c r="B1244" s="53" t="s">
        <v>2531</v>
      </c>
      <c r="C1244" s="54" t="s">
        <v>84</v>
      </c>
      <c r="D1244" s="53" t="s">
        <v>268</v>
      </c>
    </row>
    <row r="1245" spans="1:4" ht="14.4">
      <c r="A1245" s="53" t="s">
        <v>2532</v>
      </c>
      <c r="B1245" s="53" t="s">
        <v>2533</v>
      </c>
      <c r="C1245" s="54" t="s">
        <v>84</v>
      </c>
      <c r="D1245" s="53" t="s">
        <v>268</v>
      </c>
    </row>
    <row r="1246" spans="1:4" ht="14.4">
      <c r="A1246" s="53" t="s">
        <v>2534</v>
      </c>
      <c r="B1246" s="53" t="s">
        <v>2535</v>
      </c>
      <c r="C1246" s="54" t="s">
        <v>84</v>
      </c>
      <c r="D1246" s="53" t="s">
        <v>268</v>
      </c>
    </row>
    <row r="1247" spans="1:4" ht="14.4">
      <c r="A1247" s="53" t="s">
        <v>2536</v>
      </c>
      <c r="B1247" s="53" t="s">
        <v>2537</v>
      </c>
      <c r="C1247" s="54" t="s">
        <v>84</v>
      </c>
      <c r="D1247" s="53" t="s">
        <v>268</v>
      </c>
    </row>
    <row r="1248" spans="1:4" ht="14.4">
      <c r="A1248" s="53" t="s">
        <v>2538</v>
      </c>
      <c r="B1248" s="53" t="s">
        <v>2539</v>
      </c>
      <c r="C1248" s="54" t="s">
        <v>84</v>
      </c>
      <c r="D1248" s="53" t="s">
        <v>268</v>
      </c>
    </row>
    <row r="1249" spans="1:4" ht="14.4">
      <c r="A1249" s="53" t="s">
        <v>2540</v>
      </c>
      <c r="B1249" s="53" t="s">
        <v>2541</v>
      </c>
      <c r="C1249" s="54" t="s">
        <v>84</v>
      </c>
      <c r="D1249" s="53" t="s">
        <v>268</v>
      </c>
    </row>
    <row r="1250" spans="1:4" ht="14.4">
      <c r="A1250" s="53" t="s">
        <v>2542</v>
      </c>
      <c r="B1250" s="53" t="s">
        <v>2543</v>
      </c>
      <c r="C1250" s="54" t="s">
        <v>84</v>
      </c>
      <c r="D1250" s="53" t="s">
        <v>268</v>
      </c>
    </row>
    <row r="1251" spans="1:4" ht="14.4">
      <c r="A1251" s="53" t="s">
        <v>2544</v>
      </c>
      <c r="B1251" s="53" t="s">
        <v>2545</v>
      </c>
      <c r="C1251" s="54" t="s">
        <v>84</v>
      </c>
      <c r="D1251" s="53" t="s">
        <v>268</v>
      </c>
    </row>
    <row r="1252" spans="1:4" ht="14.4">
      <c r="A1252" s="53" t="s">
        <v>2546</v>
      </c>
      <c r="B1252" s="53" t="s">
        <v>2547</v>
      </c>
      <c r="C1252" s="54" t="s">
        <v>84</v>
      </c>
      <c r="D1252" s="53" t="s">
        <v>268</v>
      </c>
    </row>
    <row r="1253" spans="1:4" ht="14.4">
      <c r="A1253" s="53" t="s">
        <v>2548</v>
      </c>
      <c r="B1253" s="53" t="s">
        <v>2549</v>
      </c>
      <c r="C1253" s="54" t="s">
        <v>84</v>
      </c>
      <c r="D1253" s="53" t="s">
        <v>268</v>
      </c>
    </row>
    <row r="1254" spans="1:4" ht="14.4">
      <c r="A1254" s="53" t="s">
        <v>2550</v>
      </c>
      <c r="B1254" s="53" t="s">
        <v>2551</v>
      </c>
      <c r="C1254" s="54" t="s">
        <v>84</v>
      </c>
      <c r="D1254" s="53" t="s">
        <v>268</v>
      </c>
    </row>
    <row r="1255" spans="1:4" ht="14.4">
      <c r="A1255" s="53" t="s">
        <v>2552</v>
      </c>
      <c r="B1255" s="53" t="s">
        <v>2553</v>
      </c>
      <c r="C1255" s="54" t="s">
        <v>84</v>
      </c>
      <c r="D1255" s="53" t="s">
        <v>268</v>
      </c>
    </row>
    <row r="1256" spans="1:4" ht="14.4">
      <c r="A1256" s="53" t="s">
        <v>2554</v>
      </c>
      <c r="B1256" s="53" t="s">
        <v>2555</v>
      </c>
      <c r="C1256" s="54" t="s">
        <v>84</v>
      </c>
      <c r="D1256" s="53" t="s">
        <v>268</v>
      </c>
    </row>
    <row r="1257" spans="1:4" ht="14.4">
      <c r="A1257" s="53" t="s">
        <v>2556</v>
      </c>
      <c r="B1257" s="53" t="s">
        <v>2557</v>
      </c>
      <c r="C1257" s="54" t="s">
        <v>84</v>
      </c>
      <c r="D1257" s="53" t="s">
        <v>268</v>
      </c>
    </row>
    <row r="1258" spans="1:4" ht="14.4">
      <c r="A1258" s="53" t="s">
        <v>2558</v>
      </c>
      <c r="B1258" s="53" t="s">
        <v>2559</v>
      </c>
      <c r="C1258" s="54" t="s">
        <v>84</v>
      </c>
      <c r="D1258" s="53" t="s">
        <v>268</v>
      </c>
    </row>
    <row r="1259" spans="1:4" ht="14.4">
      <c r="A1259" s="53" t="s">
        <v>2560</v>
      </c>
      <c r="B1259" s="53" t="s">
        <v>2561</v>
      </c>
      <c r="C1259" s="54" t="s">
        <v>84</v>
      </c>
      <c r="D1259" s="53" t="s">
        <v>268</v>
      </c>
    </row>
    <row r="1260" spans="1:4" ht="14.4">
      <c r="A1260" s="53" t="s">
        <v>2562</v>
      </c>
      <c r="B1260" s="53" t="s">
        <v>2563</v>
      </c>
      <c r="C1260" s="54" t="s">
        <v>84</v>
      </c>
      <c r="D1260" s="53" t="s">
        <v>268</v>
      </c>
    </row>
    <row r="1261" spans="1:4" ht="14.4">
      <c r="A1261" s="53" t="s">
        <v>2564</v>
      </c>
      <c r="B1261" s="53" t="s">
        <v>2565</v>
      </c>
      <c r="C1261" s="54" t="s">
        <v>84</v>
      </c>
      <c r="D1261" s="53" t="s">
        <v>268</v>
      </c>
    </row>
    <row r="1262" spans="1:4" ht="14.4">
      <c r="A1262" s="53" t="s">
        <v>2566</v>
      </c>
      <c r="B1262" s="53" t="s">
        <v>2567</v>
      </c>
      <c r="C1262" s="54" t="s">
        <v>84</v>
      </c>
      <c r="D1262" s="53" t="s">
        <v>268</v>
      </c>
    </row>
    <row r="1263" spans="1:4" ht="14.4">
      <c r="A1263" s="53" t="s">
        <v>2568</v>
      </c>
      <c r="B1263" s="53" t="s">
        <v>2569</v>
      </c>
      <c r="C1263" s="54" t="s">
        <v>88</v>
      </c>
      <c r="D1263" s="53"/>
    </row>
    <row r="1264" spans="1:4" ht="14.4">
      <c r="A1264" s="53" t="s">
        <v>2570</v>
      </c>
      <c r="B1264" s="53" t="s">
        <v>2571</v>
      </c>
      <c r="C1264" s="54" t="s">
        <v>88</v>
      </c>
      <c r="D1264" s="53"/>
    </row>
    <row r="1265" spans="1:4" ht="14.4">
      <c r="A1265" s="53" t="s">
        <v>2572</v>
      </c>
      <c r="B1265" s="53" t="s">
        <v>2573</v>
      </c>
      <c r="C1265" s="54" t="s">
        <v>84</v>
      </c>
      <c r="D1265" s="53" t="s">
        <v>207</v>
      </c>
    </row>
    <row r="1266" spans="1:4" ht="14.4">
      <c r="A1266" s="53" t="s">
        <v>2574</v>
      </c>
      <c r="B1266" s="53" t="s">
        <v>2575</v>
      </c>
      <c r="C1266" s="54" t="s">
        <v>88</v>
      </c>
      <c r="D1266" s="53"/>
    </row>
    <row r="1267" spans="1:4" ht="14.4">
      <c r="A1267" s="53" t="s">
        <v>2576</v>
      </c>
      <c r="B1267" s="53" t="s">
        <v>2577</v>
      </c>
      <c r="C1267" s="54" t="s">
        <v>88</v>
      </c>
      <c r="D1267" s="53"/>
    </row>
    <row r="1268" spans="1:4" ht="14.4">
      <c r="A1268" s="53" t="s">
        <v>2578</v>
      </c>
      <c r="B1268" s="53" t="s">
        <v>2579</v>
      </c>
      <c r="C1268" s="54" t="s">
        <v>87</v>
      </c>
      <c r="D1268" s="53" t="s">
        <v>256</v>
      </c>
    </row>
    <row r="1269" spans="1:4" ht="14.4">
      <c r="A1269" s="53" t="s">
        <v>2580</v>
      </c>
      <c r="B1269" s="53" t="s">
        <v>2581</v>
      </c>
      <c r="C1269" s="54" t="s">
        <v>87</v>
      </c>
      <c r="D1269" s="53" t="s">
        <v>256</v>
      </c>
    </row>
    <row r="1270" spans="1:4" ht="14.4">
      <c r="A1270" s="53" t="s">
        <v>2582</v>
      </c>
      <c r="B1270" s="53" t="s">
        <v>2583</v>
      </c>
      <c r="C1270" s="54" t="s">
        <v>85</v>
      </c>
      <c r="D1270" s="53"/>
    </row>
    <row r="1271" spans="1:4" ht="14.4">
      <c r="A1271" s="53" t="s">
        <v>2584</v>
      </c>
      <c r="B1271" s="53" t="s">
        <v>2585</v>
      </c>
      <c r="C1271" s="54" t="s">
        <v>85</v>
      </c>
      <c r="D1271" s="53"/>
    </row>
    <row r="1272" spans="1:4" ht="14.4">
      <c r="A1272" s="53" t="s">
        <v>2586</v>
      </c>
      <c r="B1272" s="53" t="s">
        <v>2587</v>
      </c>
      <c r="C1272" s="54" t="s">
        <v>87</v>
      </c>
      <c r="D1272" s="53" t="s">
        <v>318</v>
      </c>
    </row>
    <row r="1273" spans="1:4" ht="14.4">
      <c r="A1273" s="53" t="s">
        <v>2588</v>
      </c>
      <c r="B1273" s="53" t="s">
        <v>2589</v>
      </c>
      <c r="C1273" s="54" t="s">
        <v>88</v>
      </c>
      <c r="D1273" s="53"/>
    </row>
    <row r="1274" spans="1:4" ht="14.4">
      <c r="A1274" s="53" t="s">
        <v>2590</v>
      </c>
      <c r="B1274" s="53" t="s">
        <v>2591</v>
      </c>
      <c r="C1274" s="54" t="s">
        <v>85</v>
      </c>
      <c r="D1274" s="53"/>
    </row>
    <row r="1275" spans="1:4" ht="14.4">
      <c r="A1275" s="53" t="s">
        <v>2592</v>
      </c>
      <c r="B1275" s="53" t="s">
        <v>2593</v>
      </c>
      <c r="C1275" s="54" t="s">
        <v>84</v>
      </c>
      <c r="D1275" s="53" t="s">
        <v>694</v>
      </c>
    </row>
    <row r="1276" spans="1:4" ht="14.4">
      <c r="A1276" s="53" t="s">
        <v>2594</v>
      </c>
      <c r="B1276" s="53" t="s">
        <v>2595</v>
      </c>
      <c r="C1276" s="54" t="s">
        <v>84</v>
      </c>
      <c r="D1276" s="53" t="s">
        <v>694</v>
      </c>
    </row>
    <row r="1277" spans="1:4" ht="14.4">
      <c r="A1277" s="53" t="s">
        <v>2596</v>
      </c>
      <c r="B1277" s="53" t="s">
        <v>2597</v>
      </c>
      <c r="C1277" s="54" t="s">
        <v>84</v>
      </c>
      <c r="D1277" s="53" t="s">
        <v>694</v>
      </c>
    </row>
    <row r="1278" spans="1:4" ht="14.4">
      <c r="A1278" s="53" t="s">
        <v>2598</v>
      </c>
      <c r="B1278" s="53" t="s">
        <v>2599</v>
      </c>
      <c r="C1278" s="54" t="s">
        <v>85</v>
      </c>
      <c r="D1278" s="53"/>
    </row>
    <row r="1279" spans="1:4" ht="14.4">
      <c r="A1279" s="53" t="s">
        <v>2600</v>
      </c>
      <c r="B1279" s="53" t="s">
        <v>2601</v>
      </c>
      <c r="C1279" s="54" t="s">
        <v>87</v>
      </c>
      <c r="D1279" s="53" t="s">
        <v>318</v>
      </c>
    </row>
    <row r="1280" spans="1:4" ht="14.4">
      <c r="A1280" s="53" t="s">
        <v>2602</v>
      </c>
      <c r="B1280" s="53" t="s">
        <v>2603</v>
      </c>
      <c r="C1280" s="54" t="s">
        <v>84</v>
      </c>
      <c r="D1280" s="53" t="s">
        <v>694</v>
      </c>
    </row>
    <row r="1281" spans="1:4" ht="14.4">
      <c r="A1281" s="53" t="s">
        <v>2604</v>
      </c>
      <c r="B1281" s="53" t="s">
        <v>2605</v>
      </c>
      <c r="C1281" s="54" t="s">
        <v>84</v>
      </c>
      <c r="D1281" s="53" t="s">
        <v>207</v>
      </c>
    </row>
    <row r="1282" spans="1:4" ht="14.4">
      <c r="A1282" s="53" t="s">
        <v>2606</v>
      </c>
      <c r="B1282" s="53" t="s">
        <v>2607</v>
      </c>
      <c r="C1282" s="54" t="s">
        <v>84</v>
      </c>
      <c r="D1282" s="53" t="s">
        <v>207</v>
      </c>
    </row>
    <row r="1283" spans="1:4" ht="14.4">
      <c r="A1283" s="53" t="s">
        <v>2608</v>
      </c>
      <c r="B1283" s="53" t="s">
        <v>2609</v>
      </c>
      <c r="C1283" s="54" t="s">
        <v>84</v>
      </c>
      <c r="D1283" s="53" t="s">
        <v>207</v>
      </c>
    </row>
    <row r="1284" spans="1:4" ht="14.4">
      <c r="A1284" s="53" t="s">
        <v>2610</v>
      </c>
      <c r="B1284" s="53" t="s">
        <v>2611</v>
      </c>
      <c r="C1284" s="54" t="s">
        <v>84</v>
      </c>
      <c r="D1284" s="53" t="s">
        <v>207</v>
      </c>
    </row>
    <row r="1285" spans="1:4" ht="14.4">
      <c r="A1285" s="53" t="s">
        <v>2612</v>
      </c>
      <c r="B1285" s="53" t="s">
        <v>2613</v>
      </c>
      <c r="C1285" s="54" t="s">
        <v>89</v>
      </c>
      <c r="D1285" s="53" t="s">
        <v>288</v>
      </c>
    </row>
    <row r="1286" spans="1:4" ht="14.4">
      <c r="A1286" s="53" t="s">
        <v>2614</v>
      </c>
      <c r="B1286" s="53" t="s">
        <v>2615</v>
      </c>
      <c r="C1286" s="54" t="s">
        <v>89</v>
      </c>
      <c r="D1286" s="53" t="s">
        <v>288</v>
      </c>
    </row>
    <row r="1287" spans="1:4" ht="14.4">
      <c r="A1287" s="53" t="s">
        <v>3137</v>
      </c>
      <c r="B1287" s="53" t="s">
        <v>3139</v>
      </c>
      <c r="C1287" s="54" t="s">
        <v>59</v>
      </c>
      <c r="D1287" s="53"/>
    </row>
    <row r="1288" spans="1:4" ht="14.4">
      <c r="A1288" s="53" t="s">
        <v>3138</v>
      </c>
      <c r="B1288" s="53" t="s">
        <v>3140</v>
      </c>
      <c r="C1288" s="54" t="s">
        <v>84</v>
      </c>
      <c r="D1288" s="53" t="s">
        <v>3141</v>
      </c>
    </row>
    <row r="1289" spans="1:4" ht="14.4">
      <c r="A1289" s="53" t="s">
        <v>2616</v>
      </c>
      <c r="B1289" s="53" t="s">
        <v>2617</v>
      </c>
      <c r="C1289" s="54" t="s">
        <v>84</v>
      </c>
      <c r="D1289" s="53" t="s">
        <v>241</v>
      </c>
    </row>
    <row r="1290" spans="1:4" ht="14.4">
      <c r="A1290" s="53" t="s">
        <v>2618</v>
      </c>
      <c r="B1290" s="53" t="s">
        <v>2619</v>
      </c>
      <c r="C1290" s="54" t="s">
        <v>84</v>
      </c>
      <c r="D1290" s="53" t="s">
        <v>241</v>
      </c>
    </row>
    <row r="1291" spans="1:4" ht="14.4">
      <c r="A1291" s="53" t="s">
        <v>2620</v>
      </c>
      <c r="B1291" s="53" t="s">
        <v>2621</v>
      </c>
      <c r="C1291" s="54" t="s">
        <v>84</v>
      </c>
      <c r="D1291" s="53" t="s">
        <v>241</v>
      </c>
    </row>
    <row r="1292" spans="1:4" ht="14.4">
      <c r="A1292" s="53" t="s">
        <v>2622</v>
      </c>
      <c r="B1292" s="53" t="s">
        <v>2623</v>
      </c>
      <c r="C1292" s="54" t="s">
        <v>84</v>
      </c>
      <c r="D1292" s="53" t="s">
        <v>241</v>
      </c>
    </row>
    <row r="1293" spans="1:4" ht="14.4">
      <c r="A1293" s="53" t="s">
        <v>2624</v>
      </c>
      <c r="B1293" s="53" t="s">
        <v>2625</v>
      </c>
      <c r="C1293" s="54" t="s">
        <v>84</v>
      </c>
      <c r="D1293" s="53" t="s">
        <v>241</v>
      </c>
    </row>
    <row r="1294" spans="1:4" ht="14.4">
      <c r="A1294" s="53" t="s">
        <v>2626</v>
      </c>
      <c r="B1294" s="53" t="s">
        <v>2627</v>
      </c>
      <c r="C1294" s="54" t="s">
        <v>85</v>
      </c>
      <c r="D1294" s="53"/>
    </row>
    <row r="1295" spans="1:4" ht="14.4">
      <c r="A1295" s="53" t="s">
        <v>2628</v>
      </c>
      <c r="B1295" s="53" t="s">
        <v>2629</v>
      </c>
      <c r="C1295" s="54" t="s">
        <v>84</v>
      </c>
      <c r="D1295" s="53" t="s">
        <v>241</v>
      </c>
    </row>
    <row r="1296" spans="1:4" ht="14.4">
      <c r="A1296" s="53" t="s">
        <v>2630</v>
      </c>
      <c r="B1296" s="53" t="s">
        <v>2631</v>
      </c>
      <c r="C1296" s="54" t="s">
        <v>84</v>
      </c>
      <c r="D1296" s="53" t="s">
        <v>207</v>
      </c>
    </row>
    <row r="1297" spans="1:4" ht="14.4">
      <c r="A1297" s="53" t="s">
        <v>2632</v>
      </c>
      <c r="B1297" s="53" t="s">
        <v>2633</v>
      </c>
      <c r="C1297" s="54" t="s">
        <v>90</v>
      </c>
      <c r="D1297" s="53"/>
    </row>
    <row r="1298" spans="1:4" ht="14.4">
      <c r="A1298" s="53" t="s">
        <v>2634</v>
      </c>
      <c r="B1298" s="53" t="s">
        <v>2635</v>
      </c>
      <c r="C1298" s="54" t="s">
        <v>84</v>
      </c>
      <c r="D1298" s="53" t="s">
        <v>241</v>
      </c>
    </row>
    <row r="1299" spans="1:4" ht="14.4">
      <c r="A1299" s="53" t="s">
        <v>2636</v>
      </c>
      <c r="B1299" s="53" t="s">
        <v>2637</v>
      </c>
      <c r="C1299" s="54" t="s">
        <v>84</v>
      </c>
      <c r="D1299" s="53" t="s">
        <v>241</v>
      </c>
    </row>
    <row r="1300" spans="1:4" ht="14.4">
      <c r="A1300" s="53" t="s">
        <v>2638</v>
      </c>
      <c r="B1300" s="53" t="s">
        <v>2639</v>
      </c>
      <c r="C1300" s="54" t="s">
        <v>84</v>
      </c>
      <c r="D1300" s="53" t="s">
        <v>241</v>
      </c>
    </row>
    <row r="1301" spans="1:4" ht="14.4">
      <c r="A1301" s="53" t="s">
        <v>2640</v>
      </c>
      <c r="B1301" s="53" t="s">
        <v>2641</v>
      </c>
      <c r="C1301" s="54" t="s">
        <v>84</v>
      </c>
      <c r="D1301" s="53" t="s">
        <v>241</v>
      </c>
    </row>
    <row r="1302" spans="1:4" ht="14.4">
      <c r="A1302" s="53" t="s">
        <v>2642</v>
      </c>
      <c r="B1302" s="53" t="s">
        <v>2643</v>
      </c>
      <c r="C1302" s="54" t="s">
        <v>84</v>
      </c>
      <c r="D1302" s="53" t="s">
        <v>241</v>
      </c>
    </row>
    <row r="1303" spans="1:4" ht="14.4">
      <c r="A1303" s="53" t="s">
        <v>2644</v>
      </c>
      <c r="B1303" s="53" t="s">
        <v>2645</v>
      </c>
      <c r="C1303" s="54" t="s">
        <v>84</v>
      </c>
      <c r="D1303" s="53" t="s">
        <v>241</v>
      </c>
    </row>
    <row r="1304" spans="1:4" ht="14.4">
      <c r="A1304" s="53" t="s">
        <v>2646</v>
      </c>
      <c r="B1304" s="53" t="s">
        <v>2647</v>
      </c>
      <c r="C1304" s="54" t="s">
        <v>84</v>
      </c>
      <c r="D1304" s="53" t="s">
        <v>241</v>
      </c>
    </row>
    <row r="1305" spans="1:4" ht="14.4">
      <c r="A1305" s="53" t="s">
        <v>2648</v>
      </c>
      <c r="B1305" s="53" t="s">
        <v>2649</v>
      </c>
      <c r="C1305" s="54" t="s">
        <v>89</v>
      </c>
      <c r="D1305" s="53" t="s">
        <v>130</v>
      </c>
    </row>
    <row r="1306" spans="1:4" ht="14.4">
      <c r="A1306" s="53" t="s">
        <v>2650</v>
      </c>
      <c r="B1306" s="53" t="s">
        <v>2651</v>
      </c>
      <c r="C1306" s="54" t="s">
        <v>89</v>
      </c>
      <c r="D1306" s="53" t="s">
        <v>130</v>
      </c>
    </row>
    <row r="1307" spans="1:4" ht="14.4">
      <c r="A1307" s="53" t="s">
        <v>2652</v>
      </c>
      <c r="B1307" s="53" t="s">
        <v>2653</v>
      </c>
      <c r="C1307" s="54" t="s">
        <v>89</v>
      </c>
      <c r="D1307" s="53" t="s">
        <v>130</v>
      </c>
    </row>
    <row r="1308" spans="1:4" ht="14.4">
      <c r="A1308" s="53" t="s">
        <v>2654</v>
      </c>
      <c r="B1308" s="53" t="s">
        <v>2655</v>
      </c>
      <c r="C1308" s="54" t="s">
        <v>85</v>
      </c>
      <c r="D1308" s="53"/>
    </row>
    <row r="1309" spans="1:4" ht="14.4">
      <c r="A1309" s="53" t="s">
        <v>2656</v>
      </c>
      <c r="B1309" s="53" t="s">
        <v>2657</v>
      </c>
      <c r="C1309" s="54" t="s">
        <v>85</v>
      </c>
      <c r="D1309" s="53"/>
    </row>
    <row r="1310" spans="1:4" ht="14.4">
      <c r="A1310" s="53" t="s">
        <v>2658</v>
      </c>
      <c r="B1310" s="53" t="s">
        <v>2659</v>
      </c>
      <c r="C1310" s="54" t="s">
        <v>85</v>
      </c>
      <c r="D1310" s="53"/>
    </row>
    <row r="1311" spans="1:4" ht="14.4">
      <c r="A1311" s="53" t="s">
        <v>2660</v>
      </c>
      <c r="B1311" s="53" t="s">
        <v>2661</v>
      </c>
      <c r="C1311" s="54" t="s">
        <v>85</v>
      </c>
      <c r="D1311" s="53"/>
    </row>
    <row r="1312" spans="1:4" ht="14.4">
      <c r="A1312" s="53" t="s">
        <v>2662</v>
      </c>
      <c r="B1312" s="53" t="s">
        <v>2663</v>
      </c>
      <c r="C1312" s="54" t="s">
        <v>85</v>
      </c>
      <c r="D1312" s="53"/>
    </row>
    <row r="1313" spans="1:4" ht="14.4">
      <c r="A1313" s="53" t="s">
        <v>2664</v>
      </c>
      <c r="B1313" s="53" t="s">
        <v>2665</v>
      </c>
      <c r="C1313" s="54" t="s">
        <v>85</v>
      </c>
      <c r="D1313" s="53"/>
    </row>
    <row r="1314" spans="1:4" ht="14.4">
      <c r="A1314" s="53" t="s">
        <v>2666</v>
      </c>
      <c r="B1314" s="53" t="s">
        <v>2667</v>
      </c>
      <c r="C1314" s="54" t="s">
        <v>84</v>
      </c>
      <c r="D1314" s="53" t="s">
        <v>241</v>
      </c>
    </row>
    <row r="1315" spans="1:4" ht="14.4">
      <c r="A1315" s="53" t="s">
        <v>2668</v>
      </c>
      <c r="B1315" s="53" t="s">
        <v>2669</v>
      </c>
      <c r="C1315" s="54" t="s">
        <v>84</v>
      </c>
      <c r="D1315" s="53" t="s">
        <v>241</v>
      </c>
    </row>
    <row r="1316" spans="1:4" ht="14.4">
      <c r="A1316" s="53" t="s">
        <v>2670</v>
      </c>
      <c r="B1316" s="53" t="s">
        <v>2671</v>
      </c>
      <c r="C1316" s="54" t="s">
        <v>88</v>
      </c>
      <c r="D1316" s="53"/>
    </row>
    <row r="1317" spans="1:4" ht="14.4">
      <c r="A1317" s="53" t="s">
        <v>2672</v>
      </c>
      <c r="B1317" s="53" t="s">
        <v>2673</v>
      </c>
      <c r="C1317" s="54" t="s">
        <v>59</v>
      </c>
      <c r="D1317" s="53"/>
    </row>
    <row r="1318" spans="1:4" ht="14.4">
      <c r="A1318" s="53" t="s">
        <v>2674</v>
      </c>
      <c r="B1318" s="53" t="s">
        <v>2675</v>
      </c>
      <c r="C1318" s="54" t="s">
        <v>84</v>
      </c>
      <c r="D1318" s="53" t="s">
        <v>241</v>
      </c>
    </row>
    <row r="1319" spans="1:4" ht="14.4">
      <c r="A1319" s="53" t="s">
        <v>2676</v>
      </c>
      <c r="B1319" s="53" t="s">
        <v>2677</v>
      </c>
      <c r="C1319" s="54" t="s">
        <v>84</v>
      </c>
      <c r="D1319" s="53" t="s">
        <v>241</v>
      </c>
    </row>
    <row r="1320" spans="1:4" ht="14.4">
      <c r="A1320" s="53" t="s">
        <v>2678</v>
      </c>
      <c r="B1320" s="53" t="s">
        <v>2679</v>
      </c>
      <c r="C1320" s="54" t="s">
        <v>85</v>
      </c>
      <c r="D1320" s="53"/>
    </row>
    <row r="1321" spans="1:4" ht="14.4">
      <c r="A1321" s="53" t="s">
        <v>2680</v>
      </c>
      <c r="B1321" s="53" t="s">
        <v>2681</v>
      </c>
      <c r="C1321" s="54" t="s">
        <v>87</v>
      </c>
      <c r="D1321" s="53" t="s">
        <v>318</v>
      </c>
    </row>
    <row r="1322" spans="1:4" ht="14.4">
      <c r="A1322" s="53" t="s">
        <v>2682</v>
      </c>
      <c r="B1322" s="53" t="s">
        <v>2683</v>
      </c>
      <c r="C1322" s="54" t="s">
        <v>88</v>
      </c>
      <c r="D1322" s="53"/>
    </row>
    <row r="1323" spans="1:4" ht="14.4">
      <c r="A1323" s="53" t="s">
        <v>2684</v>
      </c>
      <c r="B1323" s="53" t="s">
        <v>2685</v>
      </c>
      <c r="C1323" s="54" t="s">
        <v>85</v>
      </c>
      <c r="D1323" s="53"/>
    </row>
    <row r="1324" spans="1:4" ht="14.4">
      <c r="A1324" s="53" t="s">
        <v>2686</v>
      </c>
      <c r="B1324" s="53" t="s">
        <v>2687</v>
      </c>
      <c r="C1324" s="54" t="s">
        <v>85</v>
      </c>
      <c r="D1324" s="53"/>
    </row>
    <row r="1325" spans="1:4" ht="14.4">
      <c r="A1325" s="53" t="s">
        <v>2688</v>
      </c>
      <c r="B1325" s="53" t="s">
        <v>2689</v>
      </c>
      <c r="C1325" s="54" t="s">
        <v>85</v>
      </c>
      <c r="D1325" s="53"/>
    </row>
    <row r="1326" spans="1:4" ht="14.4">
      <c r="A1326" s="53" t="s">
        <v>2690</v>
      </c>
      <c r="B1326" s="53" t="s">
        <v>2691</v>
      </c>
      <c r="C1326" s="54" t="s">
        <v>85</v>
      </c>
      <c r="D1326" s="53"/>
    </row>
    <row r="1327" spans="1:4" ht="14.4">
      <c r="A1327" s="53" t="s">
        <v>2692</v>
      </c>
      <c r="B1327" s="53" t="s">
        <v>2693</v>
      </c>
      <c r="C1327" s="54" t="s">
        <v>85</v>
      </c>
      <c r="D1327" s="53"/>
    </row>
    <row r="1328" spans="1:4" ht="14.4">
      <c r="A1328" s="53" t="s">
        <v>2694</v>
      </c>
      <c r="B1328" s="53" t="s">
        <v>2695</v>
      </c>
      <c r="C1328" s="54" t="s">
        <v>84</v>
      </c>
      <c r="D1328" s="53" t="s">
        <v>207</v>
      </c>
    </row>
    <row r="1329" spans="1:4" ht="14.4">
      <c r="A1329" s="53" t="s">
        <v>2696</v>
      </c>
      <c r="B1329" s="53" t="s">
        <v>2697</v>
      </c>
      <c r="C1329" s="54" t="s">
        <v>84</v>
      </c>
      <c r="D1329" s="53" t="s">
        <v>207</v>
      </c>
    </row>
    <row r="1330" spans="1:4" ht="14.4">
      <c r="A1330" s="53" t="s">
        <v>2698</v>
      </c>
      <c r="B1330" s="53" t="s">
        <v>2699</v>
      </c>
      <c r="C1330" s="54" t="s">
        <v>84</v>
      </c>
      <c r="D1330" s="53" t="s">
        <v>207</v>
      </c>
    </row>
    <row r="1331" spans="1:4" ht="14.4">
      <c r="A1331" s="53" t="s">
        <v>2700</v>
      </c>
      <c r="B1331" s="53" t="s">
        <v>2701</v>
      </c>
      <c r="C1331" s="54" t="s">
        <v>85</v>
      </c>
      <c r="D1331" s="53"/>
    </row>
    <row r="1332" spans="1:4" ht="14.4">
      <c r="A1332" s="53" t="s">
        <v>2702</v>
      </c>
      <c r="B1332" s="53" t="s">
        <v>2703</v>
      </c>
      <c r="C1332" s="54" t="s">
        <v>84</v>
      </c>
      <c r="D1332" s="53" t="s">
        <v>207</v>
      </c>
    </row>
    <row r="1333" spans="1:4" ht="14.4">
      <c r="A1333" s="53" t="s">
        <v>2704</v>
      </c>
      <c r="B1333" s="53" t="s">
        <v>2705</v>
      </c>
      <c r="C1333" s="54" t="s">
        <v>88</v>
      </c>
      <c r="D1333" s="53"/>
    </row>
    <row r="1334" spans="1:4" ht="14.4">
      <c r="A1334" s="53" t="s">
        <v>2706</v>
      </c>
      <c r="B1334" s="53" t="s">
        <v>2707</v>
      </c>
      <c r="C1334" s="54" t="s">
        <v>84</v>
      </c>
      <c r="D1334" s="53" t="s">
        <v>207</v>
      </c>
    </row>
    <row r="1335" spans="1:4" ht="14.4">
      <c r="A1335" s="53" t="s">
        <v>2708</v>
      </c>
      <c r="B1335" s="53" t="s">
        <v>2709</v>
      </c>
      <c r="C1335" s="54" t="s">
        <v>84</v>
      </c>
      <c r="D1335" s="53" t="s">
        <v>241</v>
      </c>
    </row>
    <row r="1336" spans="1:4" ht="14.4">
      <c r="A1336" s="53" t="s">
        <v>2710</v>
      </c>
      <c r="B1336" s="53" t="s">
        <v>2711</v>
      </c>
      <c r="C1336" s="54" t="s">
        <v>84</v>
      </c>
      <c r="D1336" s="53" t="s">
        <v>241</v>
      </c>
    </row>
    <row r="1337" spans="1:4" ht="14.4">
      <c r="A1337" s="53" t="s">
        <v>2712</v>
      </c>
      <c r="B1337" s="53" t="s">
        <v>2713</v>
      </c>
      <c r="C1337" s="54" t="s">
        <v>84</v>
      </c>
      <c r="D1337" s="53" t="s">
        <v>207</v>
      </c>
    </row>
    <row r="1338" spans="1:4" ht="14.4">
      <c r="A1338" s="53" t="s">
        <v>2714</v>
      </c>
      <c r="B1338" s="53" t="s">
        <v>2715</v>
      </c>
      <c r="C1338" s="54" t="s">
        <v>84</v>
      </c>
      <c r="D1338" s="53" t="s">
        <v>207</v>
      </c>
    </row>
    <row r="1339" spans="1:4" ht="14.4">
      <c r="A1339" s="53" t="s">
        <v>2716</v>
      </c>
      <c r="B1339" s="53" t="s">
        <v>2717</v>
      </c>
      <c r="C1339" s="54" t="s">
        <v>85</v>
      </c>
      <c r="D1339" s="53"/>
    </row>
    <row r="1340" spans="1:4" ht="14.4">
      <c r="A1340" s="53" t="s">
        <v>2718</v>
      </c>
      <c r="B1340" s="53" t="s">
        <v>2719</v>
      </c>
      <c r="C1340" s="54" t="s">
        <v>84</v>
      </c>
      <c r="D1340" s="53" t="s">
        <v>207</v>
      </c>
    </row>
    <row r="1341" spans="1:4" ht="14.4">
      <c r="A1341" s="53" t="s">
        <v>2720</v>
      </c>
      <c r="B1341" s="53" t="s">
        <v>2721</v>
      </c>
      <c r="C1341" s="54" t="s">
        <v>84</v>
      </c>
      <c r="D1341" s="53" t="s">
        <v>207</v>
      </c>
    </row>
    <row r="1342" spans="1:4" ht="14.4">
      <c r="A1342" s="53" t="s">
        <v>2722</v>
      </c>
      <c r="B1342" s="53" t="s">
        <v>2723</v>
      </c>
      <c r="C1342" s="54" t="s">
        <v>85</v>
      </c>
      <c r="D1342" s="53"/>
    </row>
    <row r="1343" spans="1:4" ht="14.4">
      <c r="A1343" s="53" t="s">
        <v>2724</v>
      </c>
      <c r="B1343" s="53" t="s">
        <v>2725</v>
      </c>
      <c r="C1343" s="54" t="s">
        <v>84</v>
      </c>
      <c r="D1343" s="53" t="s">
        <v>241</v>
      </c>
    </row>
    <row r="1344" spans="1:4" ht="14.4">
      <c r="A1344" s="53" t="s">
        <v>2726</v>
      </c>
      <c r="B1344" s="53" t="s">
        <v>2727</v>
      </c>
      <c r="C1344" s="54" t="s">
        <v>84</v>
      </c>
      <c r="D1344" s="53" t="s">
        <v>241</v>
      </c>
    </row>
    <row r="1345" spans="1:4" ht="14.4">
      <c r="A1345" s="53" t="s">
        <v>2728</v>
      </c>
      <c r="B1345" s="53" t="s">
        <v>2729</v>
      </c>
      <c r="C1345" s="54" t="s">
        <v>84</v>
      </c>
      <c r="D1345" s="53" t="s">
        <v>241</v>
      </c>
    </row>
    <row r="1346" spans="1:4" ht="14.4">
      <c r="A1346" s="53" t="s">
        <v>2730</v>
      </c>
      <c r="B1346" s="53" t="s">
        <v>2731</v>
      </c>
      <c r="C1346" s="54" t="s">
        <v>84</v>
      </c>
      <c r="D1346" s="53" t="s">
        <v>241</v>
      </c>
    </row>
    <row r="1347" spans="1:4" ht="14.4">
      <c r="A1347" s="53" t="s">
        <v>2732</v>
      </c>
      <c r="B1347" s="53" t="s">
        <v>2733</v>
      </c>
      <c r="C1347" s="54" t="s">
        <v>85</v>
      </c>
      <c r="D1347" s="53"/>
    </row>
    <row r="1348" spans="1:4" ht="14.4">
      <c r="A1348" s="53" t="s">
        <v>2734</v>
      </c>
      <c r="B1348" s="53" t="s">
        <v>2735</v>
      </c>
      <c r="C1348" s="54" t="s">
        <v>85</v>
      </c>
      <c r="D1348" s="53"/>
    </row>
    <row r="1349" spans="1:4" ht="14.4">
      <c r="A1349" s="53" t="s">
        <v>2736</v>
      </c>
      <c r="B1349" s="53" t="s">
        <v>2737</v>
      </c>
      <c r="C1349" s="54" t="s">
        <v>85</v>
      </c>
      <c r="D1349" s="53"/>
    </row>
    <row r="1350" spans="1:4" ht="14.4">
      <c r="A1350" s="53" t="s">
        <v>2738</v>
      </c>
      <c r="B1350" s="53" t="s">
        <v>2739</v>
      </c>
      <c r="C1350" s="54" t="s">
        <v>85</v>
      </c>
      <c r="D1350" s="53"/>
    </row>
    <row r="1351" spans="1:4" ht="14.4">
      <c r="A1351" s="53" t="s">
        <v>2740</v>
      </c>
      <c r="B1351" s="53" t="s">
        <v>2741</v>
      </c>
      <c r="C1351" s="54" t="s">
        <v>89</v>
      </c>
      <c r="D1351" s="53" t="s">
        <v>524</v>
      </c>
    </row>
    <row r="1352" spans="1:4" ht="14.4">
      <c r="A1352" s="53" t="s">
        <v>2742</v>
      </c>
      <c r="B1352" s="53" t="s">
        <v>2743</v>
      </c>
      <c r="C1352" s="54" t="s">
        <v>85</v>
      </c>
      <c r="D1352" s="53"/>
    </row>
    <row r="1353" spans="1:4" ht="14.4">
      <c r="A1353" s="53" t="s">
        <v>2744</v>
      </c>
      <c r="B1353" s="53" t="s">
        <v>2745</v>
      </c>
      <c r="C1353" s="54" t="s">
        <v>84</v>
      </c>
      <c r="D1353" s="53" t="s">
        <v>241</v>
      </c>
    </row>
    <row r="1354" spans="1:4" ht="14.4">
      <c r="A1354" s="53" t="s">
        <v>2746</v>
      </c>
      <c r="B1354" s="53" t="s">
        <v>2747</v>
      </c>
      <c r="C1354" s="54" t="s">
        <v>89</v>
      </c>
      <c r="D1354" s="53" t="s">
        <v>631</v>
      </c>
    </row>
    <row r="1355" spans="1:4" ht="14.4">
      <c r="A1355" s="53" t="s">
        <v>2748</v>
      </c>
      <c r="B1355" s="53" t="s">
        <v>2749</v>
      </c>
      <c r="C1355" s="54" t="s">
        <v>89</v>
      </c>
      <c r="D1355" s="53" t="s">
        <v>631</v>
      </c>
    </row>
    <row r="1356" spans="1:4" ht="14.4">
      <c r="A1356" s="53" t="s">
        <v>2750</v>
      </c>
      <c r="B1356" s="53" t="s">
        <v>2751</v>
      </c>
      <c r="C1356" s="54" t="s">
        <v>84</v>
      </c>
      <c r="D1356" s="53" t="s">
        <v>268</v>
      </c>
    </row>
    <row r="1357" spans="1:4" ht="14.4">
      <c r="A1357" s="53" t="s">
        <v>2752</v>
      </c>
      <c r="B1357" s="53" t="s">
        <v>2753</v>
      </c>
      <c r="C1357" s="54" t="s">
        <v>84</v>
      </c>
      <c r="D1357" s="53" t="s">
        <v>268</v>
      </c>
    </row>
    <row r="1358" spans="1:4" ht="14.4">
      <c r="A1358" s="53" t="s">
        <v>2754</v>
      </c>
      <c r="B1358" s="53" t="s">
        <v>2755</v>
      </c>
      <c r="C1358" s="54" t="s">
        <v>84</v>
      </c>
      <c r="D1358" s="53" t="s">
        <v>268</v>
      </c>
    </row>
    <row r="1359" spans="1:4" ht="14.4">
      <c r="A1359" s="53" t="s">
        <v>2756</v>
      </c>
      <c r="B1359" s="53" t="s">
        <v>2757</v>
      </c>
      <c r="C1359" s="54" t="s">
        <v>87</v>
      </c>
      <c r="D1359" s="53" t="s">
        <v>256</v>
      </c>
    </row>
    <row r="1360" spans="1:4" ht="14.4">
      <c r="A1360" s="53" t="s">
        <v>2758</v>
      </c>
      <c r="B1360" s="53" t="s">
        <v>2759</v>
      </c>
      <c r="C1360" s="54" t="s">
        <v>85</v>
      </c>
      <c r="D1360" s="53"/>
    </row>
    <row r="1361" spans="1:4" ht="14.4">
      <c r="A1361" s="53" t="s">
        <v>2760</v>
      </c>
      <c r="B1361" s="53" t="s">
        <v>2761</v>
      </c>
      <c r="C1361" s="54" t="s">
        <v>89</v>
      </c>
      <c r="D1361" s="53" t="s">
        <v>288</v>
      </c>
    </row>
    <row r="1362" spans="1:4" ht="14.4">
      <c r="A1362" s="53" t="s">
        <v>2762</v>
      </c>
      <c r="B1362" s="53" t="s">
        <v>2763</v>
      </c>
      <c r="C1362" s="54" t="s">
        <v>89</v>
      </c>
      <c r="D1362" s="53" t="s">
        <v>288</v>
      </c>
    </row>
    <row r="1363" spans="1:4" ht="14.4">
      <c r="A1363" s="53" t="s">
        <v>2764</v>
      </c>
      <c r="B1363" s="53" t="s">
        <v>2765</v>
      </c>
      <c r="C1363" s="54" t="s">
        <v>89</v>
      </c>
      <c r="D1363" s="53" t="s">
        <v>288</v>
      </c>
    </row>
    <row r="1364" spans="1:4" ht="14.4">
      <c r="A1364" s="53" t="s">
        <v>2766</v>
      </c>
      <c r="B1364" s="53" t="s">
        <v>2767</v>
      </c>
      <c r="C1364" s="54" t="s">
        <v>89</v>
      </c>
      <c r="D1364" s="53" t="s">
        <v>288</v>
      </c>
    </row>
    <row r="1365" spans="1:4" ht="14.4">
      <c r="A1365" s="53" t="s">
        <v>2768</v>
      </c>
      <c r="B1365" s="53" t="s">
        <v>2769</v>
      </c>
      <c r="C1365" s="54" t="s">
        <v>89</v>
      </c>
      <c r="D1365" s="53" t="s">
        <v>288</v>
      </c>
    </row>
    <row r="1366" spans="1:4" ht="14.4">
      <c r="A1366" s="53" t="s">
        <v>2770</v>
      </c>
      <c r="B1366" s="53" t="s">
        <v>2771</v>
      </c>
      <c r="C1366" s="54" t="s">
        <v>85</v>
      </c>
      <c r="D1366" s="53"/>
    </row>
    <row r="1367" spans="1:4" ht="14.4">
      <c r="A1367" s="53" t="s">
        <v>2772</v>
      </c>
      <c r="B1367" s="53" t="s">
        <v>2773</v>
      </c>
      <c r="C1367" s="54" t="s">
        <v>89</v>
      </c>
      <c r="D1367" s="53" t="s">
        <v>288</v>
      </c>
    </row>
    <row r="1368" spans="1:4" ht="14.4">
      <c r="A1368" s="53" t="s">
        <v>2774</v>
      </c>
      <c r="B1368" s="53" t="s">
        <v>2775</v>
      </c>
      <c r="C1368" s="54" t="s">
        <v>89</v>
      </c>
      <c r="D1368" s="53" t="s">
        <v>288</v>
      </c>
    </row>
    <row r="1369" spans="1:4" ht="14.4">
      <c r="A1369" s="53" t="s">
        <v>2776</v>
      </c>
      <c r="B1369" s="53" t="s">
        <v>2777</v>
      </c>
      <c r="C1369" s="54" t="s">
        <v>84</v>
      </c>
      <c r="D1369" s="53" t="s">
        <v>241</v>
      </c>
    </row>
    <row r="1370" spans="1:4" ht="14.4">
      <c r="A1370" s="53" t="s">
        <v>2778</v>
      </c>
      <c r="B1370" s="53" t="s">
        <v>2779</v>
      </c>
      <c r="C1370" s="54" t="s">
        <v>84</v>
      </c>
      <c r="D1370" s="53" t="s">
        <v>241</v>
      </c>
    </row>
    <row r="1371" spans="1:4" ht="14.4">
      <c r="A1371" s="53" t="s">
        <v>2780</v>
      </c>
      <c r="B1371" s="53" t="s">
        <v>2781</v>
      </c>
      <c r="C1371" s="54" t="s">
        <v>84</v>
      </c>
      <c r="D1371" s="53" t="s">
        <v>241</v>
      </c>
    </row>
    <row r="1372" spans="1:4" ht="14.4">
      <c r="A1372" s="53" t="s">
        <v>2782</v>
      </c>
      <c r="B1372" s="53" t="s">
        <v>2783</v>
      </c>
      <c r="C1372" s="54" t="s">
        <v>89</v>
      </c>
      <c r="D1372" s="53" t="s">
        <v>288</v>
      </c>
    </row>
    <row r="1373" spans="1:4" ht="14.4">
      <c r="A1373" s="53" t="s">
        <v>2784</v>
      </c>
      <c r="B1373" s="53" t="s">
        <v>2785</v>
      </c>
      <c r="C1373" s="54" t="s">
        <v>89</v>
      </c>
      <c r="D1373" s="53" t="s">
        <v>288</v>
      </c>
    </row>
    <row r="1374" spans="1:4" ht="14.4">
      <c r="A1374" s="53" t="s">
        <v>2786</v>
      </c>
      <c r="B1374" s="53" t="s">
        <v>2787</v>
      </c>
      <c r="C1374" s="54" t="s">
        <v>89</v>
      </c>
      <c r="D1374" s="53" t="s">
        <v>387</v>
      </c>
    </row>
    <row r="1375" spans="1:4" ht="14.4">
      <c r="A1375" s="53" t="s">
        <v>2788</v>
      </c>
      <c r="B1375" s="53" t="s">
        <v>2789</v>
      </c>
      <c r="C1375" s="54" t="s">
        <v>87</v>
      </c>
      <c r="D1375" s="53" t="s">
        <v>256</v>
      </c>
    </row>
    <row r="1376" spans="1:4" ht="14.4">
      <c r="A1376" s="53" t="s">
        <v>2790</v>
      </c>
      <c r="B1376" s="53" t="s">
        <v>2791</v>
      </c>
      <c r="C1376" s="54" t="s">
        <v>87</v>
      </c>
      <c r="D1376" s="53" t="s">
        <v>256</v>
      </c>
    </row>
    <row r="1377" spans="1:4" ht="14.4">
      <c r="A1377" s="53" t="s">
        <v>2792</v>
      </c>
      <c r="B1377" s="53" t="s">
        <v>2793</v>
      </c>
      <c r="C1377" s="54" t="s">
        <v>87</v>
      </c>
      <c r="D1377" s="53" t="s">
        <v>256</v>
      </c>
    </row>
    <row r="1378" spans="1:4" ht="14.4">
      <c r="A1378" s="53" t="s">
        <v>2794</v>
      </c>
      <c r="B1378" s="53" t="s">
        <v>2795</v>
      </c>
      <c r="C1378" s="54" t="s">
        <v>89</v>
      </c>
      <c r="D1378" s="53" t="s">
        <v>288</v>
      </c>
    </row>
    <row r="1379" spans="1:4" ht="14.4">
      <c r="A1379" s="53" t="s">
        <v>2796</v>
      </c>
      <c r="B1379" s="53" t="s">
        <v>2797</v>
      </c>
      <c r="C1379" s="54" t="s">
        <v>89</v>
      </c>
      <c r="D1379" s="53" t="s">
        <v>288</v>
      </c>
    </row>
    <row r="1380" spans="1:4" ht="14.4">
      <c r="A1380" s="53" t="s">
        <v>2798</v>
      </c>
      <c r="B1380" s="53" t="s">
        <v>2799</v>
      </c>
      <c r="C1380" s="54" t="s">
        <v>89</v>
      </c>
      <c r="D1380" s="53" t="s">
        <v>288</v>
      </c>
    </row>
    <row r="1381" spans="1:4" ht="14.4">
      <c r="A1381" s="53" t="s">
        <v>2800</v>
      </c>
      <c r="B1381" s="53" t="s">
        <v>2801</v>
      </c>
      <c r="C1381" s="54" t="s">
        <v>89</v>
      </c>
      <c r="D1381" s="53" t="s">
        <v>288</v>
      </c>
    </row>
    <row r="1382" spans="1:4" ht="14.4">
      <c r="A1382" s="53" t="s">
        <v>2802</v>
      </c>
      <c r="B1382" s="53" t="s">
        <v>2803</v>
      </c>
      <c r="C1382" s="54" t="s">
        <v>89</v>
      </c>
      <c r="D1382" s="53" t="s">
        <v>288</v>
      </c>
    </row>
    <row r="1383" spans="1:4" ht="14.4">
      <c r="A1383" s="53" t="s">
        <v>2804</v>
      </c>
      <c r="B1383" s="53" t="s">
        <v>2805</v>
      </c>
      <c r="C1383" s="54" t="s">
        <v>89</v>
      </c>
      <c r="D1383" s="53" t="s">
        <v>288</v>
      </c>
    </row>
    <row r="1384" spans="1:4" ht="14.4">
      <c r="A1384" s="53" t="s">
        <v>2806</v>
      </c>
      <c r="B1384" s="53" t="s">
        <v>2807</v>
      </c>
      <c r="C1384" s="54" t="s">
        <v>89</v>
      </c>
      <c r="D1384" s="53" t="s">
        <v>288</v>
      </c>
    </row>
    <row r="1385" spans="1:4" ht="14.4">
      <c r="A1385" s="53" t="s">
        <v>2808</v>
      </c>
      <c r="B1385" s="53" t="s">
        <v>2809</v>
      </c>
      <c r="C1385" s="54" t="s">
        <v>89</v>
      </c>
      <c r="D1385" s="53" t="s">
        <v>288</v>
      </c>
    </row>
    <row r="1386" spans="1:4" ht="14.4">
      <c r="A1386" s="53" t="s">
        <v>2810</v>
      </c>
      <c r="B1386" s="53" t="s">
        <v>2811</v>
      </c>
      <c r="C1386" s="54" t="s">
        <v>89</v>
      </c>
      <c r="D1386" s="53" t="s">
        <v>288</v>
      </c>
    </row>
    <row r="1387" spans="1:4" ht="14.4">
      <c r="A1387" s="53" t="s">
        <v>2812</v>
      </c>
      <c r="B1387" s="53" t="s">
        <v>2813</v>
      </c>
      <c r="C1387" s="54" t="s">
        <v>89</v>
      </c>
      <c r="D1387" s="53" t="s">
        <v>288</v>
      </c>
    </row>
    <row r="1388" spans="1:4" ht="14.4">
      <c r="A1388" s="53" t="s">
        <v>2814</v>
      </c>
      <c r="B1388" s="53" t="s">
        <v>2815</v>
      </c>
      <c r="C1388" s="54" t="s">
        <v>89</v>
      </c>
      <c r="D1388" s="53" t="s">
        <v>288</v>
      </c>
    </row>
    <row r="1389" spans="1:4" ht="14.4">
      <c r="A1389" s="53" t="s">
        <v>2816</v>
      </c>
      <c r="B1389" s="53" t="s">
        <v>2817</v>
      </c>
      <c r="C1389" s="54" t="s">
        <v>89</v>
      </c>
      <c r="D1389" s="53" t="s">
        <v>288</v>
      </c>
    </row>
    <row r="1390" spans="1:4" ht="14.4">
      <c r="A1390" s="53" t="s">
        <v>2818</v>
      </c>
      <c r="B1390" s="53" t="s">
        <v>2819</v>
      </c>
      <c r="C1390" s="54" t="s">
        <v>89</v>
      </c>
      <c r="D1390" s="53" t="s">
        <v>288</v>
      </c>
    </row>
    <row r="1391" spans="1:4" ht="14.4">
      <c r="A1391" s="53" t="s">
        <v>2820</v>
      </c>
      <c r="B1391" s="53" t="s">
        <v>2821</v>
      </c>
      <c r="C1391" s="54" t="s">
        <v>89</v>
      </c>
      <c r="D1391" s="53" t="s">
        <v>288</v>
      </c>
    </row>
    <row r="1392" spans="1:4" ht="14.4">
      <c r="A1392" s="53" t="s">
        <v>2822</v>
      </c>
      <c r="B1392" s="53" t="s">
        <v>2823</v>
      </c>
      <c r="C1392" s="54" t="s">
        <v>89</v>
      </c>
      <c r="D1392" s="53" t="s">
        <v>288</v>
      </c>
    </row>
    <row r="1393" spans="1:4" ht="14.4">
      <c r="A1393" s="53" t="s">
        <v>2824</v>
      </c>
      <c r="B1393" s="53" t="s">
        <v>2825</v>
      </c>
      <c r="C1393" s="54" t="s">
        <v>89</v>
      </c>
      <c r="D1393" s="53" t="s">
        <v>288</v>
      </c>
    </row>
    <row r="1394" spans="1:4" ht="14.4">
      <c r="A1394" s="53" t="s">
        <v>2826</v>
      </c>
      <c r="B1394" s="53" t="s">
        <v>2827</v>
      </c>
      <c r="C1394" s="54" t="s">
        <v>89</v>
      </c>
      <c r="D1394" s="53" t="s">
        <v>288</v>
      </c>
    </row>
    <row r="1395" spans="1:4" ht="14.4">
      <c r="A1395" s="53" t="s">
        <v>2796</v>
      </c>
      <c r="B1395" s="53" t="s">
        <v>2828</v>
      </c>
      <c r="C1395" s="54" t="s">
        <v>89</v>
      </c>
      <c r="D1395" s="53" t="s">
        <v>288</v>
      </c>
    </row>
    <row r="1396" spans="1:4" ht="14.4">
      <c r="A1396" s="53" t="s">
        <v>2829</v>
      </c>
      <c r="B1396" s="53" t="s">
        <v>2830</v>
      </c>
      <c r="C1396" s="54" t="s">
        <v>88</v>
      </c>
      <c r="D1396" s="53"/>
    </row>
    <row r="1397" spans="1:4" ht="14.4">
      <c r="A1397" s="53" t="s">
        <v>2831</v>
      </c>
      <c r="B1397" s="53" t="s">
        <v>2832</v>
      </c>
      <c r="C1397" s="54" t="s">
        <v>85</v>
      </c>
      <c r="D1397" s="53"/>
    </row>
    <row r="1398" spans="1:4" ht="14.4">
      <c r="A1398" s="53" t="s">
        <v>2833</v>
      </c>
      <c r="B1398" s="53" t="s">
        <v>2834</v>
      </c>
      <c r="C1398" s="54" t="s">
        <v>88</v>
      </c>
      <c r="D1398" s="53"/>
    </row>
    <row r="1399" spans="1:4" ht="14.4">
      <c r="A1399" s="53" t="s">
        <v>2835</v>
      </c>
      <c r="B1399" s="53" t="s">
        <v>2836</v>
      </c>
      <c r="C1399" s="54" t="s">
        <v>89</v>
      </c>
      <c r="D1399" s="53" t="s">
        <v>130</v>
      </c>
    </row>
    <row r="1400" spans="1:4" ht="14.4">
      <c r="A1400" s="53" t="s">
        <v>2837</v>
      </c>
      <c r="B1400" s="53" t="s">
        <v>2838</v>
      </c>
      <c r="C1400" s="54" t="s">
        <v>87</v>
      </c>
      <c r="D1400" s="53" t="s">
        <v>256</v>
      </c>
    </row>
    <row r="1401" spans="1:4" ht="14.4">
      <c r="A1401" s="53" t="s">
        <v>2839</v>
      </c>
      <c r="B1401" s="53" t="s">
        <v>2840</v>
      </c>
      <c r="C1401" s="54" t="s">
        <v>87</v>
      </c>
      <c r="D1401" s="53" t="s">
        <v>256</v>
      </c>
    </row>
    <row r="1402" spans="1:4" ht="14.4">
      <c r="A1402" s="53" t="s">
        <v>2841</v>
      </c>
      <c r="B1402" s="53" t="s">
        <v>2842</v>
      </c>
      <c r="C1402" s="54" t="s">
        <v>87</v>
      </c>
      <c r="D1402" s="53" t="s">
        <v>256</v>
      </c>
    </row>
    <row r="1403" spans="1:4" ht="14.4">
      <c r="A1403" s="53" t="s">
        <v>2843</v>
      </c>
      <c r="B1403" s="53" t="s">
        <v>2844</v>
      </c>
      <c r="C1403" s="54" t="s">
        <v>87</v>
      </c>
      <c r="D1403" s="53" t="s">
        <v>256</v>
      </c>
    </row>
    <row r="1404" spans="1:4" ht="14.4">
      <c r="A1404" s="53" t="s">
        <v>2845</v>
      </c>
      <c r="B1404" s="53" t="s">
        <v>2846</v>
      </c>
      <c r="C1404" s="54" t="s">
        <v>89</v>
      </c>
      <c r="D1404" s="53" t="s">
        <v>288</v>
      </c>
    </row>
    <row r="1405" spans="1:4" ht="14.4">
      <c r="A1405" s="53" t="s">
        <v>2847</v>
      </c>
      <c r="B1405" s="53" t="s">
        <v>2848</v>
      </c>
      <c r="C1405" s="54" t="s">
        <v>89</v>
      </c>
      <c r="D1405" s="53" t="s">
        <v>288</v>
      </c>
    </row>
    <row r="1406" spans="1:4" ht="14.4">
      <c r="A1406" s="53" t="s">
        <v>2849</v>
      </c>
      <c r="B1406" s="53" t="s">
        <v>2850</v>
      </c>
      <c r="C1406" s="54" t="s">
        <v>89</v>
      </c>
      <c r="D1406" s="53" t="s">
        <v>288</v>
      </c>
    </row>
    <row r="1407" spans="1:4" ht="14.4">
      <c r="A1407" s="53" t="s">
        <v>2851</v>
      </c>
      <c r="B1407" s="53" t="s">
        <v>2852</v>
      </c>
      <c r="C1407" s="54" t="s">
        <v>89</v>
      </c>
      <c r="D1407" s="53" t="s">
        <v>387</v>
      </c>
    </row>
    <row r="1408" spans="1:4" ht="14.4">
      <c r="A1408" s="53" t="s">
        <v>2853</v>
      </c>
      <c r="B1408" s="53" t="s">
        <v>2854</v>
      </c>
      <c r="C1408" s="54" t="s">
        <v>89</v>
      </c>
      <c r="D1408" s="53" t="s">
        <v>631</v>
      </c>
    </row>
    <row r="1409" spans="1:4" ht="14.4">
      <c r="A1409" s="53" t="s">
        <v>2855</v>
      </c>
      <c r="B1409" s="53" t="s">
        <v>2856</v>
      </c>
      <c r="C1409" s="54" t="s">
        <v>89</v>
      </c>
      <c r="D1409" s="53" t="s">
        <v>631</v>
      </c>
    </row>
    <row r="1410" spans="1:4" ht="14.4">
      <c r="A1410" s="53" t="s">
        <v>2857</v>
      </c>
      <c r="B1410" s="53" t="s">
        <v>2858</v>
      </c>
      <c r="C1410" s="54" t="s">
        <v>89</v>
      </c>
      <c r="D1410" s="53" t="s">
        <v>631</v>
      </c>
    </row>
    <row r="1411" spans="1:4" ht="14.4">
      <c r="A1411" s="53" t="s">
        <v>2859</v>
      </c>
      <c r="B1411" s="53" t="s">
        <v>2860</v>
      </c>
      <c r="C1411" s="54" t="s">
        <v>89</v>
      </c>
      <c r="D1411" s="53" t="s">
        <v>631</v>
      </c>
    </row>
    <row r="1412" spans="1:4" ht="14.4">
      <c r="A1412" s="53" t="s">
        <v>2861</v>
      </c>
      <c r="B1412" s="53" t="s">
        <v>2862</v>
      </c>
      <c r="C1412" s="54" t="s">
        <v>89</v>
      </c>
      <c r="D1412" s="53" t="s">
        <v>631</v>
      </c>
    </row>
    <row r="1413" spans="1:4" ht="14.4">
      <c r="A1413" s="53" t="s">
        <v>2863</v>
      </c>
      <c r="B1413" s="53" t="s">
        <v>2864</v>
      </c>
      <c r="C1413" s="54" t="s">
        <v>89</v>
      </c>
      <c r="D1413" s="53" t="s">
        <v>524</v>
      </c>
    </row>
    <row r="1414" spans="1:4" ht="14.4">
      <c r="A1414" s="53" t="s">
        <v>2865</v>
      </c>
      <c r="B1414" s="53" t="s">
        <v>2866</v>
      </c>
      <c r="C1414" s="54" t="s">
        <v>89</v>
      </c>
      <c r="D1414" s="53" t="s">
        <v>524</v>
      </c>
    </row>
    <row r="1415" spans="1:4" ht="14.4">
      <c r="A1415" s="53" t="s">
        <v>2867</v>
      </c>
      <c r="B1415" s="53" t="s">
        <v>2868</v>
      </c>
      <c r="C1415" s="54" t="s">
        <v>85</v>
      </c>
      <c r="D1415" s="53"/>
    </row>
    <row r="1416" spans="1:4" ht="14.4">
      <c r="A1416" s="53" t="s">
        <v>2869</v>
      </c>
      <c r="B1416" s="53" t="s">
        <v>2870</v>
      </c>
      <c r="C1416" s="54" t="s">
        <v>89</v>
      </c>
      <c r="D1416" s="53" t="s">
        <v>387</v>
      </c>
    </row>
    <row r="1417" spans="1:4" ht="14.4">
      <c r="A1417" s="53" t="s">
        <v>2871</v>
      </c>
      <c r="B1417" s="53" t="s">
        <v>2872</v>
      </c>
      <c r="C1417" s="54" t="s">
        <v>89</v>
      </c>
      <c r="D1417" s="53" t="s">
        <v>387</v>
      </c>
    </row>
    <row r="1418" spans="1:4" ht="14.4">
      <c r="A1418" s="53" t="s">
        <v>2873</v>
      </c>
      <c r="B1418" s="53" t="s">
        <v>2874</v>
      </c>
      <c r="C1418" s="54" t="s">
        <v>89</v>
      </c>
      <c r="D1418" s="53" t="s">
        <v>387</v>
      </c>
    </row>
    <row r="1419" spans="1:4" ht="14.4">
      <c r="A1419" s="53" t="s">
        <v>2875</v>
      </c>
      <c r="B1419" s="53" t="s">
        <v>2876</v>
      </c>
      <c r="C1419" s="54" t="s">
        <v>85</v>
      </c>
      <c r="D1419" s="53"/>
    </row>
    <row r="1420" spans="1:4" ht="14.4">
      <c r="A1420" s="53" t="s">
        <v>2877</v>
      </c>
      <c r="B1420" s="53" t="s">
        <v>2878</v>
      </c>
      <c r="C1420" s="54" t="s">
        <v>85</v>
      </c>
      <c r="D1420" s="53"/>
    </row>
    <row r="1421" spans="1:4" ht="14.4">
      <c r="A1421" s="53" t="s">
        <v>2879</v>
      </c>
      <c r="B1421" s="53" t="s">
        <v>2880</v>
      </c>
      <c r="C1421" s="54" t="s">
        <v>85</v>
      </c>
      <c r="D1421" s="53"/>
    </row>
    <row r="1422" spans="1:4" ht="14.4">
      <c r="A1422" s="53" t="s">
        <v>2881</v>
      </c>
      <c r="B1422" s="53" t="s">
        <v>2882</v>
      </c>
      <c r="C1422" s="54" t="s">
        <v>85</v>
      </c>
      <c r="D1422" s="53"/>
    </row>
    <row r="1423" spans="1:4" ht="14.4">
      <c r="A1423" s="53" t="s">
        <v>2883</v>
      </c>
      <c r="B1423" s="53" t="s">
        <v>2884</v>
      </c>
      <c r="C1423" s="54" t="s">
        <v>85</v>
      </c>
      <c r="D1423" s="53"/>
    </row>
    <row r="1424" spans="1:4" ht="14.4">
      <c r="A1424" s="53" t="s">
        <v>2885</v>
      </c>
      <c r="B1424" s="53" t="s">
        <v>2886</v>
      </c>
      <c r="C1424" s="54" t="s">
        <v>88</v>
      </c>
      <c r="D1424" s="53"/>
    </row>
    <row r="1425" spans="1:4" ht="14.4">
      <c r="A1425" s="53" t="s">
        <v>2887</v>
      </c>
      <c r="B1425" s="53" t="s">
        <v>2888</v>
      </c>
      <c r="C1425" s="54" t="s">
        <v>89</v>
      </c>
      <c r="D1425" s="53" t="s">
        <v>387</v>
      </c>
    </row>
    <row r="1426" spans="1:4" ht="14.4">
      <c r="A1426" s="53" t="s">
        <v>2889</v>
      </c>
      <c r="B1426" s="53" t="s">
        <v>2890</v>
      </c>
      <c r="C1426" s="54" t="s">
        <v>85</v>
      </c>
      <c r="D1426" s="53"/>
    </row>
    <row r="1427" spans="1:4" ht="14.4">
      <c r="A1427" s="53" t="s">
        <v>2891</v>
      </c>
      <c r="B1427" s="53" t="s">
        <v>2892</v>
      </c>
      <c r="C1427" s="54" t="s">
        <v>85</v>
      </c>
      <c r="D1427" s="53"/>
    </row>
    <row r="1428" spans="1:4" ht="14.4">
      <c r="A1428" s="53" t="s">
        <v>2893</v>
      </c>
      <c r="B1428" s="53" t="s">
        <v>2894</v>
      </c>
      <c r="C1428" s="54" t="s">
        <v>85</v>
      </c>
      <c r="D1428" s="53"/>
    </row>
    <row r="1429" spans="1:4" ht="14.4">
      <c r="A1429" s="53" t="s">
        <v>2895</v>
      </c>
      <c r="B1429" s="53" t="s">
        <v>2896</v>
      </c>
      <c r="C1429" s="54" t="s">
        <v>85</v>
      </c>
      <c r="D1429" s="53"/>
    </row>
    <row r="1430" spans="1:4" ht="14.4">
      <c r="A1430" s="53" t="s">
        <v>2897</v>
      </c>
      <c r="B1430" s="53" t="s">
        <v>2898</v>
      </c>
      <c r="C1430" s="54" t="s">
        <v>85</v>
      </c>
      <c r="D1430" s="53"/>
    </row>
    <row r="1431" spans="1:4" ht="14.4">
      <c r="A1431" s="53" t="s">
        <v>2899</v>
      </c>
      <c r="B1431" s="53" t="s">
        <v>2900</v>
      </c>
      <c r="C1431" s="54" t="s">
        <v>85</v>
      </c>
      <c r="D1431" s="53"/>
    </row>
    <row r="1432" spans="1:4" ht="14.4">
      <c r="A1432" s="53" t="s">
        <v>2901</v>
      </c>
      <c r="B1432" s="53" t="s">
        <v>2902</v>
      </c>
      <c r="C1432" s="54" t="s">
        <v>85</v>
      </c>
      <c r="D1432" s="53"/>
    </row>
    <row r="1433" spans="1:4" ht="14.4">
      <c r="A1433" s="53" t="s">
        <v>2903</v>
      </c>
      <c r="B1433" s="53" t="s">
        <v>2904</v>
      </c>
      <c r="C1433" s="54" t="s">
        <v>85</v>
      </c>
      <c r="D1433" s="53"/>
    </row>
    <row r="1434" spans="1:4" ht="14.4">
      <c r="A1434" s="53" t="s">
        <v>2905</v>
      </c>
      <c r="B1434" s="53" t="s">
        <v>2906</v>
      </c>
      <c r="C1434" s="54" t="s">
        <v>85</v>
      </c>
      <c r="D1434" s="53"/>
    </row>
    <row r="1435" spans="1:4" ht="14.4">
      <c r="A1435" s="53" t="s">
        <v>2907</v>
      </c>
      <c r="B1435" s="53" t="s">
        <v>2908</v>
      </c>
      <c r="C1435" s="54" t="s">
        <v>85</v>
      </c>
      <c r="D1435" s="53"/>
    </row>
    <row r="1436" spans="1:4" ht="14.4">
      <c r="A1436" s="53" t="s">
        <v>2909</v>
      </c>
      <c r="B1436" s="53" t="s">
        <v>2910</v>
      </c>
      <c r="C1436" s="54" t="s">
        <v>85</v>
      </c>
      <c r="D1436" s="53"/>
    </row>
    <row r="1437" spans="1:4" ht="14.4">
      <c r="A1437" s="53" t="s">
        <v>2911</v>
      </c>
      <c r="B1437" s="53" t="s">
        <v>2912</v>
      </c>
      <c r="C1437" s="54" t="s">
        <v>85</v>
      </c>
      <c r="D1437" s="53"/>
    </row>
    <row r="1438" spans="1:4" ht="14.4">
      <c r="A1438" s="53" t="s">
        <v>2913</v>
      </c>
      <c r="B1438" s="53" t="s">
        <v>2914</v>
      </c>
      <c r="C1438" s="54" t="s">
        <v>85</v>
      </c>
      <c r="D1438" s="53"/>
    </row>
    <row r="1439" spans="1:4" ht="14.4">
      <c r="A1439" s="53" t="s">
        <v>2915</v>
      </c>
      <c r="B1439" s="53" t="s">
        <v>2916</v>
      </c>
      <c r="C1439" s="54" t="s">
        <v>85</v>
      </c>
      <c r="D1439" s="53"/>
    </row>
    <row r="1440" spans="1:4" ht="14.4">
      <c r="A1440" s="53" t="s">
        <v>2917</v>
      </c>
      <c r="B1440" s="53" t="s">
        <v>2918</v>
      </c>
      <c r="C1440" s="54" t="s">
        <v>85</v>
      </c>
      <c r="D1440" s="53"/>
    </row>
    <row r="1441" spans="1:4" ht="14.4">
      <c r="A1441" s="53" t="s">
        <v>2919</v>
      </c>
      <c r="B1441" s="53" t="s">
        <v>2920</v>
      </c>
      <c r="C1441" s="54" t="s">
        <v>85</v>
      </c>
      <c r="D1441" s="53"/>
    </row>
    <row r="1442" spans="1:4" ht="14.4">
      <c r="A1442" s="53" t="s">
        <v>2921</v>
      </c>
      <c r="B1442" s="53" t="s">
        <v>2922</v>
      </c>
      <c r="C1442" s="54" t="s">
        <v>84</v>
      </c>
      <c r="D1442" s="53" t="s">
        <v>268</v>
      </c>
    </row>
    <row r="1443" spans="1:4" ht="14.4">
      <c r="A1443" s="53" t="s">
        <v>2923</v>
      </c>
      <c r="B1443" s="53" t="s">
        <v>2924</v>
      </c>
      <c r="C1443" s="54" t="s">
        <v>84</v>
      </c>
      <c r="D1443" s="53" t="s">
        <v>268</v>
      </c>
    </row>
    <row r="1444" spans="1:4" ht="14.4">
      <c r="A1444" s="53" t="s">
        <v>2925</v>
      </c>
      <c r="B1444" s="53" t="s">
        <v>2926</v>
      </c>
      <c r="C1444" s="54" t="s">
        <v>87</v>
      </c>
      <c r="D1444" s="53" t="s">
        <v>318</v>
      </c>
    </row>
    <row r="1445" spans="1:4" ht="14.4">
      <c r="A1445" s="53" t="s">
        <v>2927</v>
      </c>
      <c r="B1445" s="53" t="s">
        <v>2928</v>
      </c>
      <c r="C1445" s="54" t="s">
        <v>85</v>
      </c>
      <c r="D1445" s="53"/>
    </row>
    <row r="1446" spans="1:4" ht="14.4">
      <c r="A1446" s="53" t="s">
        <v>2929</v>
      </c>
      <c r="B1446" s="53" t="s">
        <v>2930</v>
      </c>
      <c r="C1446" s="54" t="s">
        <v>84</v>
      </c>
      <c r="D1446" s="53" t="s">
        <v>694</v>
      </c>
    </row>
    <row r="1447" spans="1:4" ht="14.4">
      <c r="A1447" s="53" t="s">
        <v>2931</v>
      </c>
      <c r="B1447" s="53" t="s">
        <v>2932</v>
      </c>
      <c r="C1447" s="54" t="s">
        <v>88</v>
      </c>
      <c r="D1447" s="53"/>
    </row>
    <row r="1448" spans="1:4" ht="14.4">
      <c r="A1448" s="53" t="s">
        <v>2933</v>
      </c>
      <c r="B1448" s="53" t="s">
        <v>2934</v>
      </c>
      <c r="C1448" s="54" t="s">
        <v>84</v>
      </c>
      <c r="D1448" s="53" t="s">
        <v>268</v>
      </c>
    </row>
    <row r="1449" spans="1:4" ht="14.4">
      <c r="A1449" s="53" t="s">
        <v>2935</v>
      </c>
      <c r="B1449" s="53" t="s">
        <v>2936</v>
      </c>
      <c r="C1449" s="54" t="s">
        <v>84</v>
      </c>
      <c r="D1449" s="53" t="s">
        <v>268</v>
      </c>
    </row>
    <row r="1450" spans="1:4" ht="14.4">
      <c r="A1450" s="53" t="s">
        <v>2937</v>
      </c>
      <c r="B1450" s="53" t="s">
        <v>2938</v>
      </c>
      <c r="C1450" s="54" t="s">
        <v>85</v>
      </c>
      <c r="D1450" s="53"/>
    </row>
    <row r="1451" spans="1:4" ht="14.4">
      <c r="A1451" s="53" t="s">
        <v>3142</v>
      </c>
      <c r="B1451" s="53" t="s">
        <v>3143</v>
      </c>
      <c r="C1451" s="54" t="s">
        <v>85</v>
      </c>
      <c r="D1451" s="53"/>
    </row>
    <row r="1452" spans="1:4" ht="14.4">
      <c r="A1452" s="53" t="s">
        <v>2939</v>
      </c>
      <c r="B1452" s="53" t="s">
        <v>2940</v>
      </c>
      <c r="C1452" s="54" t="s">
        <v>84</v>
      </c>
      <c r="D1452" s="53" t="s">
        <v>241</v>
      </c>
    </row>
    <row r="1453" spans="1:4" ht="14.4">
      <c r="A1453" s="53" t="s">
        <v>2941</v>
      </c>
      <c r="B1453" s="53" t="s">
        <v>2942</v>
      </c>
      <c r="C1453" s="54" t="s">
        <v>89</v>
      </c>
      <c r="D1453" s="53" t="s">
        <v>288</v>
      </c>
    </row>
    <row r="1454" spans="1:4" ht="14.4">
      <c r="A1454" s="53" t="s">
        <v>2943</v>
      </c>
      <c r="B1454" s="53" t="s">
        <v>2944</v>
      </c>
      <c r="C1454" s="54" t="s">
        <v>89</v>
      </c>
      <c r="D1454" s="53" t="s">
        <v>288</v>
      </c>
    </row>
    <row r="1455" spans="1:4" ht="14.4">
      <c r="A1455" s="53" t="s">
        <v>2945</v>
      </c>
      <c r="B1455" s="53" t="s">
        <v>2946</v>
      </c>
      <c r="C1455" s="54" t="s">
        <v>88</v>
      </c>
      <c r="D1455" s="53"/>
    </row>
    <row r="1456" spans="1:4" ht="14.4">
      <c r="A1456" s="53" t="s">
        <v>2947</v>
      </c>
      <c r="B1456" s="53" t="s">
        <v>2948</v>
      </c>
      <c r="C1456" s="54" t="s">
        <v>88</v>
      </c>
      <c r="D1456" s="53"/>
    </row>
    <row r="1457" spans="1:4" ht="14.4">
      <c r="A1457" s="53" t="s">
        <v>2949</v>
      </c>
      <c r="B1457" s="53" t="s">
        <v>2950</v>
      </c>
      <c r="C1457" s="54" t="s">
        <v>88</v>
      </c>
      <c r="D1457" s="53"/>
    </row>
    <row r="1458" spans="1:4" ht="14.4">
      <c r="A1458" s="53" t="s">
        <v>2951</v>
      </c>
      <c r="B1458" s="53" t="s">
        <v>2952</v>
      </c>
      <c r="C1458" s="54" t="s">
        <v>88</v>
      </c>
      <c r="D1458" s="53"/>
    </row>
    <row r="1459" spans="1:4" ht="14.4">
      <c r="A1459" s="53" t="s">
        <v>2953</v>
      </c>
      <c r="B1459" s="53" t="s">
        <v>2954</v>
      </c>
      <c r="C1459" s="54" t="s">
        <v>88</v>
      </c>
      <c r="D1459" s="53"/>
    </row>
    <row r="1460" spans="1:4" ht="14.4">
      <c r="A1460" s="53" t="s">
        <v>3144</v>
      </c>
      <c r="B1460" s="53" t="s">
        <v>3145</v>
      </c>
      <c r="C1460" s="54" t="s">
        <v>88</v>
      </c>
      <c r="D1460" s="53"/>
    </row>
    <row r="1461" spans="1:4" ht="14.4">
      <c r="A1461" s="53" t="s">
        <v>2955</v>
      </c>
      <c r="B1461" s="53" t="s">
        <v>2956</v>
      </c>
      <c r="C1461" s="54" t="s">
        <v>85</v>
      </c>
      <c r="D1461" s="53"/>
    </row>
    <row r="1462" spans="1:4" ht="14.4">
      <c r="A1462" s="53" t="s">
        <v>2957</v>
      </c>
      <c r="B1462" s="53" t="s">
        <v>2958</v>
      </c>
      <c r="C1462" s="54" t="s">
        <v>85</v>
      </c>
      <c r="D1462" s="53"/>
    </row>
    <row r="1463" spans="1:4" ht="14.4">
      <c r="A1463" s="53" t="s">
        <v>2959</v>
      </c>
      <c r="B1463" s="53" t="s">
        <v>2960</v>
      </c>
      <c r="C1463" s="54" t="s">
        <v>89</v>
      </c>
      <c r="D1463" s="53" t="s">
        <v>288</v>
      </c>
    </row>
    <row r="1464" spans="1:4" ht="14.4">
      <c r="A1464" s="53" t="s">
        <v>2961</v>
      </c>
      <c r="B1464" s="53" t="s">
        <v>2962</v>
      </c>
      <c r="C1464" s="54" t="s">
        <v>89</v>
      </c>
      <c r="D1464" s="53" t="s">
        <v>288</v>
      </c>
    </row>
    <row r="1465" spans="1:4" ht="14.4">
      <c r="A1465" s="53" t="s">
        <v>2963</v>
      </c>
      <c r="B1465" s="53" t="s">
        <v>2964</v>
      </c>
      <c r="C1465" s="54" t="s">
        <v>89</v>
      </c>
      <c r="D1465" s="53" t="s">
        <v>288</v>
      </c>
    </row>
    <row r="1466" spans="1:4" ht="14.4">
      <c r="A1466" s="53" t="s">
        <v>2965</v>
      </c>
      <c r="B1466" s="53" t="s">
        <v>2966</v>
      </c>
      <c r="C1466" s="54" t="s">
        <v>85</v>
      </c>
      <c r="D1466" s="53"/>
    </row>
    <row r="1467" spans="1:4" ht="14.4">
      <c r="A1467" s="53" t="s">
        <v>2967</v>
      </c>
      <c r="B1467" s="53" t="s">
        <v>2968</v>
      </c>
      <c r="C1467" s="54" t="s">
        <v>89</v>
      </c>
      <c r="D1467" s="53" t="s">
        <v>288</v>
      </c>
    </row>
    <row r="1468" spans="1:4" ht="14.4">
      <c r="A1468" s="53" t="s">
        <v>2969</v>
      </c>
      <c r="B1468" s="53" t="s">
        <v>2970</v>
      </c>
      <c r="C1468" s="54" t="s">
        <v>89</v>
      </c>
      <c r="D1468" s="53" t="s">
        <v>288</v>
      </c>
    </row>
    <row r="1469" spans="1:4" ht="14.4">
      <c r="A1469" s="53" t="s">
        <v>2971</v>
      </c>
      <c r="B1469" s="53" t="s">
        <v>2972</v>
      </c>
      <c r="C1469" s="54" t="s">
        <v>85</v>
      </c>
      <c r="D1469" s="53"/>
    </row>
    <row r="1470" spans="1:4" ht="14.4">
      <c r="A1470" s="53" t="s">
        <v>3147</v>
      </c>
      <c r="B1470" s="53" t="s">
        <v>3146</v>
      </c>
      <c r="C1470" s="54" t="s">
        <v>89</v>
      </c>
      <c r="D1470" s="53" t="s">
        <v>288</v>
      </c>
    </row>
    <row r="1471" spans="1:4" ht="14.4">
      <c r="A1471" s="53" t="s">
        <v>3148</v>
      </c>
      <c r="B1471" s="53" t="s">
        <v>3149</v>
      </c>
      <c r="C1471" s="54" t="s">
        <v>85</v>
      </c>
      <c r="D1471" s="53"/>
    </row>
    <row r="1472" spans="1:4" ht="14.4">
      <c r="A1472" s="53" t="s">
        <v>2973</v>
      </c>
      <c r="B1472" s="53" t="s">
        <v>2974</v>
      </c>
      <c r="C1472" s="54" t="s">
        <v>85</v>
      </c>
      <c r="D1472" s="53"/>
    </row>
    <row r="1473" spans="1:4" ht="14.4">
      <c r="A1473" s="53" t="s">
        <v>2975</v>
      </c>
      <c r="B1473" s="53" t="s">
        <v>2976</v>
      </c>
      <c r="C1473" s="54" t="s">
        <v>85</v>
      </c>
      <c r="D1473" s="53"/>
    </row>
    <row r="1474" spans="1:4" ht="14.4">
      <c r="A1474" s="53" t="s">
        <v>2977</v>
      </c>
      <c r="B1474" s="53" t="s">
        <v>2978</v>
      </c>
      <c r="C1474" s="54" t="s">
        <v>85</v>
      </c>
      <c r="D1474" s="53"/>
    </row>
    <row r="1475" spans="1:4" ht="14.4">
      <c r="A1475" s="53" t="s">
        <v>2979</v>
      </c>
      <c r="B1475" s="53" t="s">
        <v>2980</v>
      </c>
      <c r="C1475" s="54" t="s">
        <v>89</v>
      </c>
      <c r="D1475" s="53" t="s">
        <v>288</v>
      </c>
    </row>
    <row r="1476" spans="1:4" ht="14.4">
      <c r="A1476" s="53" t="s">
        <v>2981</v>
      </c>
      <c r="B1476" s="53" t="s">
        <v>2982</v>
      </c>
      <c r="C1476" s="54" t="s">
        <v>89</v>
      </c>
      <c r="D1476" s="53" t="s">
        <v>288</v>
      </c>
    </row>
    <row r="1477" spans="1:4" ht="14.4">
      <c r="A1477" s="53" t="s">
        <v>2983</v>
      </c>
      <c r="B1477" s="53" t="s">
        <v>2984</v>
      </c>
      <c r="C1477" s="54" t="s">
        <v>89</v>
      </c>
      <c r="D1477" s="53" t="s">
        <v>288</v>
      </c>
    </row>
    <row r="1478" spans="1:4" ht="14.4">
      <c r="A1478" s="53" t="s">
        <v>2985</v>
      </c>
      <c r="B1478" s="53" t="s">
        <v>2986</v>
      </c>
      <c r="C1478" s="54" t="s">
        <v>85</v>
      </c>
      <c r="D1478" s="53"/>
    </row>
    <row r="1479" spans="1:4" ht="14.4">
      <c r="A1479" s="53" t="s">
        <v>2987</v>
      </c>
      <c r="B1479" s="53" t="s">
        <v>2988</v>
      </c>
      <c r="C1479" s="54" t="s">
        <v>84</v>
      </c>
      <c r="D1479" s="53" t="s">
        <v>241</v>
      </c>
    </row>
    <row r="1480" spans="1:4" ht="14.4">
      <c r="A1480" s="53" t="s">
        <v>2989</v>
      </c>
      <c r="B1480" s="53" t="s">
        <v>2990</v>
      </c>
      <c r="C1480" s="54" t="s">
        <v>84</v>
      </c>
      <c r="D1480" s="53" t="s">
        <v>241</v>
      </c>
    </row>
    <row r="1481" spans="1:4" ht="14.4">
      <c r="A1481" s="53" t="s">
        <v>2991</v>
      </c>
      <c r="B1481" s="53" t="s">
        <v>2992</v>
      </c>
      <c r="C1481" s="54" t="s">
        <v>84</v>
      </c>
      <c r="D1481" s="53" t="s">
        <v>241</v>
      </c>
    </row>
    <row r="1482" spans="1:4" ht="14.4">
      <c r="A1482" s="53" t="s">
        <v>2993</v>
      </c>
      <c r="B1482" s="53" t="s">
        <v>2994</v>
      </c>
      <c r="C1482" s="54" t="s">
        <v>84</v>
      </c>
      <c r="D1482" s="53" t="s">
        <v>241</v>
      </c>
    </row>
    <row r="1483" spans="1:4" ht="14.4">
      <c r="A1483" s="53" t="s">
        <v>2995</v>
      </c>
      <c r="B1483" s="53" t="s">
        <v>2996</v>
      </c>
      <c r="C1483" s="54" t="s">
        <v>84</v>
      </c>
      <c r="D1483" s="53" t="s">
        <v>241</v>
      </c>
    </row>
    <row r="1484" spans="1:4" ht="14.4">
      <c r="A1484" s="53" t="s">
        <v>2997</v>
      </c>
      <c r="B1484" s="53" t="s">
        <v>2998</v>
      </c>
      <c r="C1484" s="54" t="s">
        <v>84</v>
      </c>
      <c r="D1484" s="53" t="s">
        <v>241</v>
      </c>
    </row>
    <row r="1485" spans="1:4" ht="14.4">
      <c r="A1485" s="53" t="s">
        <v>2999</v>
      </c>
      <c r="B1485" s="53" t="s">
        <v>3000</v>
      </c>
      <c r="C1485" s="54" t="s">
        <v>84</v>
      </c>
      <c r="D1485" s="53" t="s">
        <v>241</v>
      </c>
    </row>
    <row r="1486" spans="1:4" ht="14.4">
      <c r="A1486" s="53" t="s">
        <v>3001</v>
      </c>
      <c r="B1486" s="53" t="s">
        <v>3002</v>
      </c>
      <c r="C1486" s="54" t="s">
        <v>84</v>
      </c>
      <c r="D1486" s="53" t="s">
        <v>241</v>
      </c>
    </row>
    <row r="1487" spans="1:4" ht="14.4">
      <c r="A1487" s="53" t="s">
        <v>3003</v>
      </c>
      <c r="B1487" s="53" t="s">
        <v>3004</v>
      </c>
      <c r="C1487" s="54" t="s">
        <v>84</v>
      </c>
      <c r="D1487" s="53" t="s">
        <v>241</v>
      </c>
    </row>
    <row r="1488" spans="1:4" ht="14.4">
      <c r="A1488" s="53" t="s">
        <v>3005</v>
      </c>
      <c r="B1488" s="53" t="s">
        <v>3006</v>
      </c>
      <c r="C1488" s="54" t="s">
        <v>85</v>
      </c>
      <c r="D1488" s="53"/>
    </row>
    <row r="1489" spans="1:4" ht="14.4">
      <c r="A1489" s="53" t="s">
        <v>3007</v>
      </c>
      <c r="B1489" s="53" t="s">
        <v>3008</v>
      </c>
      <c r="C1489" s="54" t="s">
        <v>85</v>
      </c>
      <c r="D1489" s="53"/>
    </row>
    <row r="1490" spans="1:4" ht="14.4">
      <c r="A1490" s="53" t="s">
        <v>3009</v>
      </c>
      <c r="B1490" s="53" t="s">
        <v>3010</v>
      </c>
      <c r="C1490" s="54" t="s">
        <v>85</v>
      </c>
      <c r="D1490" s="53"/>
    </row>
    <row r="1491" spans="1:4" ht="14.4">
      <c r="A1491" s="53" t="s">
        <v>3011</v>
      </c>
      <c r="B1491" s="53" t="s">
        <v>3012</v>
      </c>
      <c r="C1491" s="54" t="s">
        <v>85</v>
      </c>
      <c r="D1491" s="53"/>
    </row>
    <row r="1492" spans="1:4" ht="14.4">
      <c r="A1492" s="53" t="s">
        <v>3013</v>
      </c>
      <c r="B1492" s="53" t="s">
        <v>3014</v>
      </c>
      <c r="C1492" s="54" t="s">
        <v>85</v>
      </c>
      <c r="D1492" s="53"/>
    </row>
    <row r="1493" spans="1:4" ht="14.4">
      <c r="A1493" s="53" t="s">
        <v>3015</v>
      </c>
      <c r="B1493" s="53" t="s">
        <v>3016</v>
      </c>
      <c r="C1493" s="54" t="s">
        <v>87</v>
      </c>
      <c r="D1493" s="53" t="s">
        <v>318</v>
      </c>
    </row>
    <row r="1494" spans="1:4" ht="14.4">
      <c r="A1494" s="53" t="s">
        <v>3017</v>
      </c>
      <c r="B1494" s="53" t="s">
        <v>3018</v>
      </c>
      <c r="C1494" s="54" t="s">
        <v>87</v>
      </c>
      <c r="D1494" s="53" t="s">
        <v>318</v>
      </c>
    </row>
    <row r="1495" spans="1:4" ht="14.4">
      <c r="A1495" s="53" t="s">
        <v>3019</v>
      </c>
      <c r="B1495" s="53" t="s">
        <v>3020</v>
      </c>
      <c r="C1495" s="54" t="s">
        <v>87</v>
      </c>
      <c r="D1495" s="53" t="s">
        <v>318</v>
      </c>
    </row>
    <row r="1496" spans="1:4" ht="14.4">
      <c r="A1496" s="53" t="s">
        <v>3021</v>
      </c>
      <c r="B1496" s="53" t="s">
        <v>3022</v>
      </c>
      <c r="C1496" s="54" t="s">
        <v>87</v>
      </c>
      <c r="D1496" s="53" t="s">
        <v>318</v>
      </c>
    </row>
    <row r="1497" spans="1:4" ht="14.4">
      <c r="A1497" s="53" t="s">
        <v>3023</v>
      </c>
      <c r="B1497" s="53" t="s">
        <v>3024</v>
      </c>
      <c r="C1497" s="54" t="s">
        <v>87</v>
      </c>
      <c r="D1497" s="53" t="s">
        <v>318</v>
      </c>
    </row>
    <row r="1498" spans="1:4" ht="14.4">
      <c r="A1498" s="53" t="s">
        <v>3025</v>
      </c>
      <c r="B1498" s="53" t="s">
        <v>3026</v>
      </c>
      <c r="C1498" s="54" t="s">
        <v>87</v>
      </c>
      <c r="D1498" s="53" t="s">
        <v>318</v>
      </c>
    </row>
    <row r="1499" spans="1:4" ht="14.4">
      <c r="A1499" s="53" t="s">
        <v>3027</v>
      </c>
      <c r="B1499" s="53" t="s">
        <v>3028</v>
      </c>
      <c r="C1499" s="54" t="s">
        <v>87</v>
      </c>
      <c r="D1499" s="53" t="s">
        <v>318</v>
      </c>
    </row>
    <row r="1500" spans="1:4" ht="14.4">
      <c r="A1500" s="53" t="s">
        <v>3029</v>
      </c>
      <c r="B1500" s="53" t="s">
        <v>3030</v>
      </c>
      <c r="C1500" s="54" t="s">
        <v>87</v>
      </c>
      <c r="D1500" s="53" t="s">
        <v>318</v>
      </c>
    </row>
    <row r="1501" spans="1:4" ht="14.4">
      <c r="A1501" s="53" t="s">
        <v>3031</v>
      </c>
      <c r="B1501" s="53" t="s">
        <v>3032</v>
      </c>
      <c r="C1501" s="54" t="s">
        <v>84</v>
      </c>
      <c r="D1501" s="53" t="s">
        <v>268</v>
      </c>
    </row>
    <row r="1502" spans="1:4" ht="14.4">
      <c r="A1502" s="53" t="s">
        <v>3033</v>
      </c>
      <c r="B1502" s="53" t="s">
        <v>3034</v>
      </c>
      <c r="C1502" s="54" t="s">
        <v>84</v>
      </c>
      <c r="D1502" s="53" t="s">
        <v>268</v>
      </c>
    </row>
    <row r="1503" spans="1:4" ht="14.4">
      <c r="A1503" s="53" t="s">
        <v>3035</v>
      </c>
      <c r="B1503" s="53" t="s">
        <v>3036</v>
      </c>
      <c r="C1503" s="54" t="s">
        <v>89</v>
      </c>
      <c r="D1503" s="53" t="s">
        <v>387</v>
      </c>
    </row>
    <row r="1504" spans="1:4" ht="14.4">
      <c r="A1504" s="53" t="s">
        <v>3037</v>
      </c>
      <c r="B1504" s="53" t="s">
        <v>3038</v>
      </c>
      <c r="C1504" s="54" t="s">
        <v>89</v>
      </c>
      <c r="D1504" s="53" t="s">
        <v>387</v>
      </c>
    </row>
    <row r="1505" spans="1:4" ht="14.4">
      <c r="A1505" s="53" t="s">
        <v>3039</v>
      </c>
      <c r="B1505" s="53" t="s">
        <v>3040</v>
      </c>
      <c r="C1505" s="54" t="s">
        <v>89</v>
      </c>
      <c r="D1505" s="53" t="s">
        <v>387</v>
      </c>
    </row>
    <row r="1506" spans="1:4" ht="14.4">
      <c r="A1506" s="53" t="s">
        <v>3041</v>
      </c>
      <c r="B1506" s="53" t="s">
        <v>3042</v>
      </c>
      <c r="C1506" s="54" t="s">
        <v>88</v>
      </c>
      <c r="D1506" s="53"/>
    </row>
    <row r="1507" spans="1:4" ht="14.4">
      <c r="A1507" s="53" t="s">
        <v>3043</v>
      </c>
      <c r="B1507" s="53" t="s">
        <v>3044</v>
      </c>
      <c r="C1507" s="54" t="s">
        <v>88</v>
      </c>
      <c r="D1507" s="53"/>
    </row>
    <row r="1508" spans="1:4" ht="14.4">
      <c r="A1508" s="53" t="s">
        <v>36</v>
      </c>
      <c r="B1508" s="53" t="s">
        <v>3045</v>
      </c>
      <c r="C1508" s="54" t="s">
        <v>88</v>
      </c>
      <c r="D1508" s="53"/>
    </row>
    <row r="1509" spans="1:4" ht="14.4">
      <c r="A1509" s="53" t="s">
        <v>3046</v>
      </c>
      <c r="B1509" s="53" t="s">
        <v>3047</v>
      </c>
      <c r="C1509" s="54" t="s">
        <v>89</v>
      </c>
      <c r="D1509" s="53" t="s">
        <v>387</v>
      </c>
    </row>
    <row r="1510" spans="1:4" ht="14.4">
      <c r="A1510" s="53" t="s">
        <v>3048</v>
      </c>
      <c r="B1510" s="53" t="s">
        <v>3049</v>
      </c>
      <c r="C1510" s="54" t="s">
        <v>89</v>
      </c>
      <c r="D1510" s="53" t="s">
        <v>387</v>
      </c>
    </row>
    <row r="1511" spans="1:4" ht="14.4">
      <c r="A1511" s="53" t="s">
        <v>3050</v>
      </c>
      <c r="B1511" s="53" t="s">
        <v>3051</v>
      </c>
      <c r="C1511" s="54" t="s">
        <v>89</v>
      </c>
      <c r="D1511" s="53" t="s">
        <v>387</v>
      </c>
    </row>
    <row r="1512" spans="1:4" ht="14.4">
      <c r="A1512" s="53" t="s">
        <v>3052</v>
      </c>
      <c r="B1512" s="53" t="s">
        <v>3053</v>
      </c>
      <c r="C1512" s="54" t="s">
        <v>89</v>
      </c>
      <c r="D1512" s="53" t="s">
        <v>3054</v>
      </c>
    </row>
    <row r="1513" spans="1:4" ht="14.4">
      <c r="A1513" s="53" t="s">
        <v>3055</v>
      </c>
      <c r="B1513" s="53" t="s">
        <v>3056</v>
      </c>
      <c r="C1513" s="54" t="s">
        <v>89</v>
      </c>
      <c r="D1513" s="53" t="s">
        <v>288</v>
      </c>
    </row>
    <row r="1514" spans="1:4" ht="14.4">
      <c r="A1514" s="53" t="s">
        <v>3057</v>
      </c>
      <c r="B1514" s="53" t="s">
        <v>3058</v>
      </c>
      <c r="C1514" s="54" t="s">
        <v>89</v>
      </c>
      <c r="D1514" s="53" t="s">
        <v>288</v>
      </c>
    </row>
    <row r="1515" spans="1:4" ht="14.4">
      <c r="A1515" s="53" t="s">
        <v>3059</v>
      </c>
      <c r="B1515" s="53" t="s">
        <v>3060</v>
      </c>
      <c r="C1515" s="54" t="s">
        <v>89</v>
      </c>
      <c r="D1515" s="53" t="s">
        <v>288</v>
      </c>
    </row>
    <row r="1516" spans="1:4" ht="14.4">
      <c r="A1516" s="53" t="s">
        <v>3061</v>
      </c>
      <c r="B1516" s="53" t="s">
        <v>3062</v>
      </c>
      <c r="C1516" s="54" t="s">
        <v>90</v>
      </c>
      <c r="D1516" s="53"/>
    </row>
    <row r="1517" spans="1:4" ht="15" thickBot="1">
      <c r="A1517" s="53" t="s">
        <v>3063</v>
      </c>
      <c r="B1517" s="53" t="s">
        <v>3064</v>
      </c>
      <c r="C1517" s="54" t="s">
        <v>89</v>
      </c>
      <c r="D1517" s="53" t="s">
        <v>288</v>
      </c>
    </row>
    <row r="1518" spans="1:4" ht="13.8" thickBot="1">
      <c r="A1518" s="51" t="s">
        <v>3065</v>
      </c>
      <c r="B1518" s="51" t="s">
        <v>3065</v>
      </c>
      <c r="C1518" s="51" t="s">
        <v>3065</v>
      </c>
      <c r="D1518" s="51" t="s">
        <v>3065</v>
      </c>
    </row>
  </sheetData>
  <autoFilter ref="A1:D1"/>
  <sortState ref="A2:E829">
    <sortCondition ref="B2:B829"/>
  </sortState>
  <mergeCells count="16">
    <mergeCell ref="G10:I11"/>
    <mergeCell ref="G18:I20"/>
    <mergeCell ref="F18:F20"/>
    <mergeCell ref="F21:F24"/>
    <mergeCell ref="G21:I24"/>
    <mergeCell ref="F1:I1"/>
    <mergeCell ref="G8:I8"/>
    <mergeCell ref="G9:I9"/>
    <mergeCell ref="G4:I4"/>
    <mergeCell ref="F3:I3"/>
    <mergeCell ref="G5:I6"/>
    <mergeCell ref="G12:I13"/>
    <mergeCell ref="G26:I28"/>
    <mergeCell ref="F26:F28"/>
    <mergeCell ref="G15:I17"/>
    <mergeCell ref="F15:F17"/>
  </mergeCells>
  <phoneticPr fontId="0" type="noConversion"/>
  <hyperlinks>
    <hyperlink ref="B186" r:id="rId1" display="http://plantnet.rbgsyd.nsw.gov.au/cgi-bin/NSWfl.pl?page=nswfl&amp;lvl=gn&amp;name=Bulbine"/>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 </vt:lpstr>
      <vt:lpstr>VEGETATION</vt:lpstr>
      <vt:lpstr>Sp_score_ref</vt:lpstr>
    </vt:vector>
  </TitlesOfParts>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Wong</dc:creator>
  <cp:lastModifiedBy>Rainer Rehwinkel</cp:lastModifiedBy>
  <cp:revision/>
  <dcterms:created xsi:type="dcterms:W3CDTF">2008-10-05T01:57:40Z</dcterms:created>
  <dcterms:modified xsi:type="dcterms:W3CDTF">2022-07-07T07:27:47Z</dcterms:modified>
</cp:coreProperties>
</file>