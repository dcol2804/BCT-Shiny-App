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E:\Austraits\BCT_Shiny\grasslands_final\"/>
    </mc:Choice>
  </mc:AlternateContent>
  <xr:revisionPtr revIDLastSave="0" documentId="8_{0D66ADBE-24F5-4D19-955B-16FD98191AED}" xr6:coauthVersionLast="47" xr6:coauthVersionMax="47" xr10:uidLastSave="{00000000-0000-0000-0000-000000000000}"/>
  <bookViews>
    <workbookView xWindow="7635" yWindow="3285" windowWidth="11940" windowHeight="11715" tabRatio="517" xr2:uid="{97C5249F-3A91-41DF-BD50-CEF1C0410ED0}"/>
  </bookViews>
  <sheets>
    <sheet name="Explanation" sheetId="8" r:id="rId1"/>
    <sheet name="VEGETATION" sheetId="3" r:id="rId2"/>
    <sheet name="Sp_score_ref" sheetId="7" r:id="rId3"/>
  </sheets>
  <definedNames>
    <definedName name="_xlnm._FilterDatabase" localSheetId="2" hidden="1">Sp_score_ref!$A$1:$N$1307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3" l="1"/>
  <c r="H66" i="3"/>
  <c r="I70" i="3"/>
  <c r="W70" i="3" s="1"/>
  <c r="I69" i="3"/>
  <c r="AA69" i="3" s="1"/>
  <c r="I68" i="3"/>
  <c r="U68" i="3" s="1"/>
  <c r="I67" i="3"/>
  <c r="N67" i="3"/>
  <c r="I66" i="3"/>
  <c r="L66" i="3" s="1"/>
  <c r="I65" i="3"/>
  <c r="AB65" i="3" s="1"/>
  <c r="I64" i="3"/>
  <c r="Q64" i="3" s="1"/>
  <c r="I63" i="3"/>
  <c r="Q63" i="3"/>
  <c r="I62" i="3"/>
  <c r="W62" i="3" s="1"/>
  <c r="I61" i="3"/>
  <c r="P61" i="3" s="1"/>
  <c r="I60" i="3"/>
  <c r="Y60" i="3" s="1"/>
  <c r="I59" i="3"/>
  <c r="T59" i="3"/>
  <c r="I58" i="3"/>
  <c r="S58" i="3" s="1"/>
  <c r="I57" i="3"/>
  <c r="AB57" i="3" s="1"/>
  <c r="I56" i="3"/>
  <c r="O56" i="3" s="1"/>
  <c r="I55" i="3"/>
  <c r="AB55" i="3"/>
  <c r="I54" i="3"/>
  <c r="K54" i="3" s="1"/>
  <c r="I53" i="3"/>
  <c r="Y53" i="3" s="1"/>
  <c r="I52" i="3"/>
  <c r="T52" i="3" s="1"/>
  <c r="I51" i="3"/>
  <c r="M51" i="3"/>
  <c r="I50" i="3"/>
  <c r="W50" i="3" s="1"/>
  <c r="I49" i="3"/>
  <c r="Y49" i="3" s="1"/>
  <c r="I48" i="3"/>
  <c r="K48" i="3" s="1"/>
  <c r="I47" i="3"/>
  <c r="Y47" i="3"/>
  <c r="I46" i="3"/>
  <c r="M46" i="3" s="1"/>
  <c r="I45" i="3"/>
  <c r="Y45" i="3" s="1"/>
  <c r="I44" i="3"/>
  <c r="M44" i="3" s="1"/>
  <c r="I43" i="3"/>
  <c r="Y43" i="3" s="1"/>
  <c r="AA43" i="3"/>
  <c r="I42" i="3"/>
  <c r="K42" i="3" s="1"/>
  <c r="I41" i="3"/>
  <c r="P41" i="3" s="1"/>
  <c r="I40" i="3"/>
  <c r="N40" i="3" s="1"/>
  <c r="I39" i="3"/>
  <c r="R39" i="3" s="1"/>
  <c r="S39" i="3"/>
  <c r="I38" i="3"/>
  <c r="O38" i="3" s="1"/>
  <c r="I37" i="3"/>
  <c r="Z37" i="3" s="1"/>
  <c r="I36" i="3"/>
  <c r="S36" i="3" s="1"/>
  <c r="I35" i="3"/>
  <c r="X35" i="3" s="1"/>
  <c r="L35" i="3"/>
  <c r="I34" i="3"/>
  <c r="Q34" i="3" s="1"/>
  <c r="I33" i="3"/>
  <c r="M33" i="3" s="1"/>
  <c r="I32" i="3"/>
  <c r="P32" i="3" s="1"/>
  <c r="I31" i="3"/>
  <c r="N31" i="3" s="1"/>
  <c r="I30" i="3"/>
  <c r="AA30" i="3" s="1"/>
  <c r="I29" i="3"/>
  <c r="P29" i="3" s="1"/>
  <c r="I28" i="3"/>
  <c r="K28" i="3" s="1"/>
  <c r="I27" i="3"/>
  <c r="V27" i="3" s="1"/>
  <c r="I26" i="3"/>
  <c r="O26" i="3" s="1"/>
  <c r="I25" i="3"/>
  <c r="M25" i="3" s="1"/>
  <c r="I24" i="3"/>
  <c r="I23" i="3"/>
  <c r="I22" i="3"/>
  <c r="I21" i="3"/>
  <c r="I20" i="3"/>
  <c r="T20" i="3" s="1"/>
  <c r="I19" i="3"/>
  <c r="N19" i="3" s="1"/>
  <c r="I18" i="3"/>
  <c r="I17" i="3"/>
  <c r="Y17" i="3" s="1"/>
  <c r="I16" i="3"/>
  <c r="P16" i="3"/>
  <c r="I15" i="3"/>
  <c r="I14" i="3"/>
  <c r="Q14" i="3" s="1"/>
  <c r="I13" i="3"/>
  <c r="Z13" i="3" s="1"/>
  <c r="I12" i="3"/>
  <c r="Y12" i="3" s="1"/>
  <c r="I11" i="3"/>
  <c r="I10" i="3"/>
  <c r="I9" i="3"/>
  <c r="N9" i="3"/>
  <c r="I8" i="3"/>
  <c r="R8" i="3" s="1"/>
  <c r="I7" i="3"/>
  <c r="Q7" i="3" s="1"/>
  <c r="H70" i="3"/>
  <c r="H68" i="3"/>
  <c r="H67"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K82" i="3"/>
  <c r="T67" i="3"/>
  <c r="V56" i="3"/>
  <c r="O32" i="3"/>
  <c r="V68" i="3"/>
  <c r="Z64" i="3"/>
  <c r="AA49" i="3"/>
  <c r="Z69" i="3"/>
  <c r="K49" i="3"/>
  <c r="O69" i="3"/>
  <c r="O57" i="3"/>
  <c r="N61" i="3"/>
  <c r="O61" i="3"/>
  <c r="W61" i="3"/>
  <c r="X57" i="3"/>
  <c r="Q53" i="3"/>
  <c r="P45" i="3"/>
  <c r="T68" i="3"/>
  <c r="AA48" i="3"/>
  <c r="R36" i="3"/>
  <c r="V60" i="3"/>
  <c r="L64" i="3"/>
  <c r="L36" i="3"/>
  <c r="W68" i="3"/>
  <c r="T64" i="3"/>
  <c r="O60" i="3"/>
  <c r="O52" i="3"/>
  <c r="Y48" i="3"/>
  <c r="S56" i="3"/>
  <c r="P40" i="3"/>
  <c r="O68" i="3"/>
  <c r="N64" i="3"/>
  <c r="S60" i="3"/>
  <c r="N60" i="3"/>
  <c r="V52" i="3"/>
  <c r="K40" i="3"/>
  <c r="O64" i="3"/>
  <c r="R64" i="3"/>
  <c r="AA32" i="3"/>
  <c r="X32" i="3"/>
  <c r="K64" i="3"/>
  <c r="U60" i="3"/>
  <c r="R56" i="3"/>
  <c r="Y52" i="3"/>
  <c r="N32" i="3"/>
  <c r="O36" i="3"/>
  <c r="X36" i="3"/>
  <c r="V32" i="3"/>
  <c r="Y36" i="3"/>
  <c r="Z32" i="3"/>
  <c r="V36" i="3"/>
  <c r="Z24" i="3"/>
  <c r="U36" i="3"/>
  <c r="T36" i="3"/>
  <c r="Y61" i="3"/>
  <c r="V57" i="3"/>
  <c r="U57" i="3"/>
  <c r="W69" i="3"/>
  <c r="M69" i="3"/>
  <c r="X69" i="3"/>
  <c r="Q69" i="3"/>
  <c r="M41" i="3"/>
  <c r="T49" i="3"/>
  <c r="N28" i="3"/>
  <c r="N20" i="3"/>
  <c r="W28" i="3"/>
  <c r="V28" i="3"/>
  <c r="O28" i="3"/>
  <c r="T28" i="3"/>
  <c r="AA28" i="3"/>
  <c r="N24" i="3"/>
  <c r="U69" i="3"/>
  <c r="L61" i="3"/>
  <c r="L69" i="3"/>
  <c r="AA65" i="3"/>
  <c r="R53" i="3"/>
  <c r="W49" i="3"/>
  <c r="L53" i="3"/>
  <c r="R57" i="3"/>
  <c r="T57" i="3"/>
  <c r="Q65" i="3"/>
  <c r="P65" i="3"/>
  <c r="V61" i="3"/>
  <c r="T45" i="3"/>
  <c r="M61" i="3"/>
  <c r="AB53" i="3"/>
  <c r="P57" i="3"/>
  <c r="V49" i="3"/>
  <c r="V53" i="3"/>
  <c r="L49" i="3"/>
  <c r="T51" i="3"/>
  <c r="T31" i="3"/>
  <c r="K47" i="3"/>
  <c r="L19" i="3"/>
  <c r="AA39" i="3"/>
  <c r="P67" i="3"/>
  <c r="L37" i="3"/>
  <c r="L41" i="3"/>
  <c r="R45" i="3"/>
  <c r="X45" i="3"/>
  <c r="K41" i="3"/>
  <c r="Q29" i="3"/>
  <c r="S45" i="3"/>
  <c r="W45" i="3"/>
  <c r="L45" i="3"/>
  <c r="Q33" i="3"/>
  <c r="M45" i="3"/>
  <c r="V45" i="3"/>
  <c r="U20" i="3"/>
  <c r="T29" i="3"/>
  <c r="S69" i="3"/>
  <c r="S65" i="3"/>
  <c r="Z65" i="3"/>
  <c r="S61" i="3"/>
  <c r="O65" i="3"/>
  <c r="K45" i="3"/>
  <c r="M65" i="3"/>
  <c r="X53" i="3"/>
  <c r="L57" i="3"/>
  <c r="Y65" i="3"/>
  <c r="S57" i="3"/>
  <c r="W57" i="3"/>
  <c r="M57" i="3"/>
  <c r="U53" i="3"/>
  <c r="Q57" i="3"/>
  <c r="X21" i="3"/>
  <c r="AB37" i="3"/>
  <c r="M37" i="3"/>
  <c r="U37" i="3"/>
  <c r="AB25" i="3"/>
  <c r="Q37" i="3"/>
  <c r="N29" i="3"/>
  <c r="Y69" i="3"/>
  <c r="P69" i="3"/>
  <c r="R65" i="3"/>
  <c r="AB61" i="3"/>
  <c r="Z61" i="3"/>
  <c r="L65" i="3"/>
  <c r="U61" i="3"/>
  <c r="AA45" i="3"/>
  <c r="Z45" i="3"/>
  <c r="O45" i="3"/>
  <c r="AB45" i="3"/>
  <c r="N65" i="3"/>
  <c r="K61" i="3"/>
  <c r="U49" i="3"/>
  <c r="W33" i="3"/>
  <c r="Q45" i="3"/>
  <c r="R49" i="3"/>
  <c r="R69" i="3"/>
  <c r="Z53" i="3"/>
  <c r="X65" i="3"/>
  <c r="M53" i="3"/>
  <c r="Q49" i="3"/>
  <c r="K69" i="3"/>
  <c r="Z49" i="3"/>
  <c r="Y57" i="3"/>
  <c r="P49" i="3"/>
  <c r="N57" i="3"/>
  <c r="M49" i="3"/>
  <c r="P53" i="3"/>
  <c r="S53" i="3"/>
  <c r="T41" i="3"/>
  <c r="Z29" i="3"/>
  <c r="T37" i="3"/>
  <c r="K29" i="3"/>
  <c r="AA29" i="3"/>
  <c r="N69" i="3"/>
  <c r="Q41" i="3"/>
  <c r="AB29" i="3"/>
  <c r="K37" i="3"/>
  <c r="O29" i="3"/>
  <c r="AB69" i="3"/>
  <c r="T69" i="3"/>
  <c r="U65" i="3"/>
  <c r="Q61" i="3"/>
  <c r="R61" i="3"/>
  <c r="V65" i="3"/>
  <c r="V69" i="3"/>
  <c r="AA61" i="3"/>
  <c r="W65" i="3"/>
  <c r="X29" i="3"/>
  <c r="N45" i="3"/>
  <c r="U45" i="3"/>
  <c r="T65" i="3"/>
  <c r="X61" i="3"/>
  <c r="Z57" i="3"/>
  <c r="W53" i="3"/>
  <c r="O53" i="3"/>
  <c r="N49" i="3"/>
  <c r="K57" i="3"/>
  <c r="AB49" i="3"/>
  <c r="X49" i="3"/>
  <c r="N53" i="3"/>
  <c r="T61" i="3"/>
  <c r="K53" i="3"/>
  <c r="AA57" i="3"/>
  <c r="T53" i="3"/>
  <c r="V41" i="3"/>
  <c r="K65" i="3"/>
  <c r="AA53" i="3"/>
  <c r="S49" i="3"/>
  <c r="O49" i="3"/>
  <c r="T44" i="3"/>
  <c r="N44" i="3"/>
  <c r="Z44" i="3"/>
  <c r="U44" i="3"/>
  <c r="V44" i="3"/>
  <c r="AB44" i="3"/>
  <c r="P44" i="3"/>
  <c r="O44" i="3"/>
  <c r="AB20" i="3"/>
  <c r="Q44" i="3"/>
  <c r="Y28" i="3"/>
  <c r="R28" i="3"/>
  <c r="T40" i="3"/>
  <c r="T32" i="3"/>
  <c r="Q36" i="3"/>
  <c r="Z36" i="3"/>
  <c r="M28" i="3"/>
  <c r="Y44" i="3"/>
  <c r="P36" i="3"/>
  <c r="N36" i="3"/>
  <c r="AB28" i="3"/>
  <c r="Z28" i="3"/>
  <c r="N14" i="3"/>
  <c r="S44" i="3"/>
  <c r="AB36" i="3"/>
  <c r="X20" i="3"/>
  <c r="S42" i="3"/>
  <c r="L32" i="3"/>
  <c r="X44" i="3"/>
  <c r="K44" i="3"/>
  <c r="W44" i="3"/>
  <c r="T24" i="3"/>
  <c r="S20" i="3"/>
  <c r="AA44" i="3"/>
  <c r="W36" i="3"/>
  <c r="R32" i="3"/>
  <c r="L28" i="3"/>
  <c r="L44" i="3"/>
  <c r="M40" i="3"/>
  <c r="R44" i="3"/>
  <c r="Q40" i="3"/>
  <c r="M36" i="3"/>
  <c r="P28" i="3"/>
  <c r="X28" i="3"/>
  <c r="U40" i="3"/>
  <c r="W32" i="3"/>
  <c r="AA36" i="3"/>
  <c r="O24" i="3"/>
  <c r="K36" i="3"/>
  <c r="M24" i="3"/>
  <c r="U28" i="3"/>
  <c r="AB40" i="3"/>
  <c r="S40" i="3"/>
  <c r="AA11" i="3"/>
  <c r="O7" i="3"/>
  <c r="U29" i="3"/>
  <c r="T35" i="3"/>
  <c r="Z21" i="3"/>
  <c r="Q19" i="3"/>
  <c r="AA15" i="3"/>
  <c r="Y29" i="3"/>
  <c r="S29" i="3"/>
  <c r="R33" i="3"/>
  <c r="R29" i="3"/>
  <c r="P9" i="3"/>
  <c r="O19" i="3"/>
  <c r="W29" i="3"/>
  <c r="V33" i="3"/>
  <c r="R18" i="3"/>
  <c r="O14" i="3"/>
  <c r="V18" i="3"/>
  <c r="Y34" i="3"/>
  <c r="K14" i="3"/>
  <c r="L10" i="3"/>
  <c r="L14" i="3"/>
  <c r="X42" i="3"/>
  <c r="U14" i="3"/>
  <c r="X14" i="3"/>
  <c r="AB18" i="3"/>
  <c r="X18" i="3"/>
  <c r="T10" i="3"/>
  <c r="S10" i="3"/>
  <c r="K18" i="3"/>
  <c r="N10" i="3"/>
  <c r="AB10" i="3"/>
  <c r="AA14" i="3"/>
  <c r="Y18" i="3"/>
  <c r="T18" i="3"/>
  <c r="P18" i="3"/>
  <c r="Z10" i="3"/>
  <c r="P42" i="3"/>
  <c r="P34" i="3"/>
  <c r="S14" i="3"/>
  <c r="X10" i="3"/>
  <c r="Y10" i="3"/>
  <c r="AA10" i="3"/>
  <c r="M10" i="3"/>
  <c r="O10" i="3"/>
  <c r="V10" i="3"/>
  <c r="R14" i="3"/>
  <c r="S18" i="3"/>
  <c r="W26" i="3"/>
  <c r="W34" i="3"/>
  <c r="L42" i="3"/>
  <c r="Q18" i="3"/>
  <c r="O18" i="3"/>
  <c r="R10" i="3"/>
  <c r="Q10" i="3"/>
  <c r="Z14" i="3"/>
  <c r="Y14" i="3"/>
  <c r="W14" i="3"/>
  <c r="AB14" i="3"/>
  <c r="Y38" i="3"/>
  <c r="U22" i="3"/>
  <c r="R7" i="3"/>
  <c r="N7" i="3"/>
  <c r="AA7" i="3"/>
  <c r="L34" i="3"/>
  <c r="T19" i="3"/>
  <c r="U34" i="3"/>
  <c r="O34" i="3"/>
  <c r="L26" i="3"/>
  <c r="N42" i="3"/>
  <c r="L38" i="3"/>
  <c r="Z42" i="3"/>
  <c r="T15" i="3"/>
  <c r="R26" i="3"/>
  <c r="V42" i="3"/>
  <c r="W42" i="3"/>
  <c r="M30" i="3"/>
  <c r="X19" i="3"/>
  <c r="AB42" i="3"/>
  <c r="AA26" i="3"/>
  <c r="M22" i="3"/>
  <c r="AB22" i="3"/>
  <c r="AB7" i="3"/>
  <c r="Y7" i="3"/>
  <c r="W19" i="3"/>
  <c r="S19" i="3"/>
  <c r="K19" i="3"/>
  <c r="K34" i="3"/>
  <c r="M26" i="3"/>
  <c r="T26" i="3"/>
  <c r="Z26" i="3"/>
  <c r="Q42" i="3"/>
  <c r="Y26" i="3"/>
  <c r="U42" i="3"/>
  <c r="O42" i="3"/>
  <c r="M42" i="3"/>
  <c r="AA42" i="3"/>
  <c r="Q30" i="3"/>
  <c r="R42" i="3"/>
  <c r="V7" i="3"/>
  <c r="M19" i="3"/>
  <c r="U19" i="3"/>
  <c r="Q11" i="3"/>
  <c r="T34" i="3"/>
  <c r="Q26" i="3"/>
  <c r="X26" i="3"/>
  <c r="Z19" i="3"/>
  <c r="X7" i="3"/>
  <c r="R34" i="3"/>
  <c r="T42" i="3"/>
  <c r="Y42" i="3"/>
  <c r="U38" i="3"/>
  <c r="Y19" i="3"/>
  <c r="AB19" i="3"/>
  <c r="P19" i="3"/>
  <c r="L7" i="3"/>
  <c r="R27" i="3"/>
  <c r="AB50" i="3"/>
  <c r="U62" i="3"/>
  <c r="P66" i="3"/>
  <c r="M66" i="3"/>
  <c r="O43" i="3"/>
  <c r="S35" i="3"/>
  <c r="P39" i="3"/>
  <c r="Y35" i="3"/>
  <c r="W35" i="3"/>
  <c r="K31" i="3"/>
  <c r="N43" i="3"/>
  <c r="Q23" i="3"/>
  <c r="L8" i="3"/>
  <c r="AB8" i="3"/>
  <c r="M54" i="3"/>
  <c r="Q58" i="3"/>
  <c r="T46" i="3"/>
  <c r="Z66" i="3"/>
  <c r="W39" i="3"/>
  <c r="R31" i="3"/>
  <c r="P43" i="3"/>
  <c r="P27" i="3"/>
  <c r="V58" i="3"/>
  <c r="Q54" i="3"/>
  <c r="Y54" i="3"/>
  <c r="W58" i="3"/>
  <c r="V66" i="3"/>
  <c r="U58" i="3"/>
  <c r="P35" i="3"/>
  <c r="R43" i="3"/>
  <c r="T43" i="3"/>
  <c r="AB39" i="3"/>
  <c r="AB31" i="3"/>
  <c r="K43" i="3"/>
  <c r="Q27" i="3"/>
  <c r="K58" i="3"/>
  <c r="K39" i="3"/>
  <c r="Z23" i="3"/>
  <c r="S70" i="3"/>
  <c r="W23" i="3"/>
  <c r="Q8" i="3"/>
  <c r="P8" i="3"/>
  <c r="V35" i="3"/>
  <c r="V23" i="3"/>
  <c r="U24" i="3"/>
  <c r="N62" i="3"/>
  <c r="X54" i="3"/>
  <c r="Y50" i="3"/>
  <c r="Z62" i="3"/>
  <c r="T62" i="3"/>
  <c r="X66" i="3"/>
  <c r="AA20" i="3"/>
  <c r="R58" i="3"/>
  <c r="X27" i="3"/>
  <c r="P54" i="3"/>
  <c r="R54" i="3"/>
  <c r="AA66" i="3"/>
  <c r="AB66" i="3"/>
  <c r="N66" i="3"/>
  <c r="P31" i="3"/>
  <c r="U31" i="3"/>
  <c r="Y31" i="3"/>
  <c r="Q31" i="3"/>
  <c r="M39" i="3"/>
  <c r="O39" i="3"/>
  <c r="X43" i="3"/>
  <c r="U39" i="3"/>
  <c r="Q43" i="3"/>
  <c r="L43" i="3"/>
  <c r="Z35" i="3"/>
  <c r="AA27" i="3"/>
  <c r="S23" i="3"/>
  <c r="Z27" i="3"/>
  <c r="N23" i="3"/>
  <c r="Y20" i="3"/>
  <c r="Y24" i="3"/>
  <c r="K24" i="3"/>
  <c r="U8" i="3"/>
  <c r="O20" i="3"/>
  <c r="W24" i="3"/>
  <c r="V24" i="3"/>
  <c r="V12" i="3"/>
  <c r="T50" i="3"/>
  <c r="Y62" i="3"/>
  <c r="R66" i="3"/>
  <c r="AB35" i="3"/>
  <c r="Y39" i="3"/>
  <c r="S43" i="3"/>
  <c r="O31" i="3"/>
  <c r="AB43" i="3"/>
  <c r="Z8" i="3"/>
  <c r="S24" i="3"/>
  <c r="O62" i="3"/>
  <c r="O54" i="3"/>
  <c r="P50" i="3"/>
  <c r="AA62" i="3"/>
  <c r="Q62" i="3"/>
  <c r="V54" i="3"/>
  <c r="K46" i="3"/>
  <c r="X16" i="3"/>
  <c r="X24" i="3"/>
  <c r="P20" i="3"/>
  <c r="M43" i="3"/>
  <c r="L31" i="3"/>
  <c r="U35" i="3"/>
  <c r="V39" i="3"/>
  <c r="Z43" i="3"/>
  <c r="R35" i="3"/>
  <c r="AA35" i="3"/>
  <c r="W43" i="3"/>
  <c r="M35" i="3"/>
  <c r="U43" i="3"/>
  <c r="V43" i="3"/>
  <c r="AB27" i="3"/>
  <c r="T23" i="3"/>
  <c r="L23" i="3"/>
  <c r="L39" i="3"/>
  <c r="AA31" i="3"/>
  <c r="U23" i="3"/>
  <c r="R23" i="3"/>
  <c r="R24" i="3"/>
  <c r="N8" i="3"/>
  <c r="Q24" i="3"/>
  <c r="Q20" i="3"/>
  <c r="AB24" i="3"/>
  <c r="X40" i="3"/>
  <c r="V70" i="3"/>
  <c r="W27" i="3"/>
  <c r="AA37" i="3"/>
  <c r="S37" i="3"/>
  <c r="R37" i="3"/>
  <c r="P37" i="3"/>
  <c r="V37" i="3"/>
  <c r="X37" i="3"/>
  <c r="Z40" i="3"/>
  <c r="W40" i="3"/>
  <c r="O40" i="3"/>
  <c r="AB34" i="3"/>
  <c r="T27" i="3"/>
  <c r="N27" i="3"/>
  <c r="S34" i="3"/>
  <c r="Z34" i="3"/>
  <c r="N34" i="3"/>
  <c r="K23" i="3"/>
  <c r="M23" i="3"/>
  <c r="V34" i="3"/>
  <c r="L27" i="3"/>
  <c r="AA8" i="3"/>
  <c r="S8" i="3"/>
  <c r="V8" i="3"/>
  <c r="O37" i="3"/>
  <c r="Y37" i="3"/>
  <c r="W37" i="3"/>
  <c r="V40" i="3"/>
  <c r="AA40" i="3"/>
  <c r="L40" i="3"/>
  <c r="R40" i="3"/>
  <c r="K27" i="3"/>
  <c r="M34" i="3"/>
  <c r="AA34" i="3"/>
  <c r="Y23" i="3"/>
  <c r="O63" i="3"/>
  <c r="X23" i="3"/>
  <c r="AA23" i="3"/>
  <c r="X67" i="3"/>
  <c r="Y40" i="3"/>
  <c r="M8" i="3"/>
  <c r="Y8" i="3"/>
  <c r="X8" i="3"/>
  <c r="X34" i="3"/>
  <c r="N37" i="3"/>
  <c r="T8" i="3"/>
  <c r="L70" i="3"/>
  <c r="O22" i="3"/>
  <c r="U70" i="3"/>
  <c r="R41" i="3"/>
  <c r="Z41" i="3"/>
  <c r="T33" i="3"/>
  <c r="Y41" i="3"/>
  <c r="Z33" i="3"/>
  <c r="AA33" i="3"/>
  <c r="W22" i="3"/>
  <c r="R70" i="3"/>
  <c r="V22" i="3"/>
  <c r="X22" i="3"/>
  <c r="R22" i="3"/>
  <c r="X33" i="3"/>
  <c r="S33" i="3"/>
  <c r="W41" i="3"/>
  <c r="T70" i="3"/>
  <c r="N33" i="3"/>
  <c r="L33" i="3"/>
  <c r="V25" i="3"/>
  <c r="W25" i="3"/>
  <c r="V67" i="3"/>
  <c r="S47" i="3"/>
  <c r="Y51" i="3"/>
  <c r="Q38" i="3"/>
  <c r="Y30" i="3"/>
  <c r="V63" i="3"/>
  <c r="P38" i="3"/>
  <c r="V47" i="3"/>
  <c r="T63" i="3"/>
  <c r="M55" i="3"/>
  <c r="T30" i="3"/>
  <c r="W38" i="3"/>
  <c r="Z38" i="3"/>
  <c r="S30" i="3"/>
  <c r="U30" i="3"/>
  <c r="Q67" i="3"/>
  <c r="S51" i="3"/>
  <c r="P30" i="3"/>
  <c r="R55" i="3"/>
  <c r="L25" i="3"/>
  <c r="X41" i="3"/>
  <c r="Z22" i="3"/>
  <c r="L30" i="3"/>
  <c r="K38" i="3"/>
  <c r="S12" i="3"/>
  <c r="L22" i="3"/>
  <c r="M70" i="3"/>
  <c r="Q70" i="3"/>
  <c r="P22" i="3"/>
  <c r="T22" i="3"/>
  <c r="N22" i="3"/>
  <c r="N70" i="3"/>
  <c r="Y22" i="3"/>
  <c r="Q22" i="3"/>
  <c r="N41" i="3"/>
  <c r="AA41" i="3"/>
  <c r="S41" i="3"/>
  <c r="K33" i="3"/>
  <c r="AB33" i="3"/>
  <c r="L9" i="3"/>
  <c r="R25" i="3"/>
  <c r="X30" i="3"/>
  <c r="O30" i="3"/>
  <c r="Z59" i="3"/>
  <c r="W51" i="3"/>
  <c r="AB38" i="3"/>
  <c r="P59" i="3"/>
  <c r="V30" i="3"/>
  <c r="R38" i="3"/>
  <c r="Z30" i="3"/>
  <c r="U55" i="3"/>
  <c r="N47" i="3"/>
  <c r="S38" i="3"/>
  <c r="N38" i="3"/>
  <c r="V38" i="3"/>
  <c r="AB30" i="3"/>
  <c r="O51" i="3"/>
  <c r="AB51" i="3"/>
  <c r="X38" i="3"/>
  <c r="Y33" i="3"/>
  <c r="U25" i="3"/>
  <c r="AB41" i="3"/>
  <c r="K22" i="3"/>
  <c r="U33" i="3"/>
  <c r="O33" i="3"/>
  <c r="S25" i="3"/>
  <c r="Q9" i="3"/>
  <c r="M38" i="3"/>
  <c r="K63" i="3"/>
  <c r="X59" i="3"/>
  <c r="K30" i="3"/>
  <c r="R30" i="3"/>
  <c r="M47" i="3"/>
  <c r="AA38" i="3"/>
  <c r="S63" i="3"/>
  <c r="N55" i="3"/>
  <c r="N30" i="3"/>
  <c r="T38" i="3"/>
  <c r="W30" i="3"/>
  <c r="AB59" i="3"/>
  <c r="R47" i="3"/>
  <c r="O16" i="3"/>
  <c r="S16" i="3"/>
  <c r="L16" i="3"/>
  <c r="X12" i="3"/>
  <c r="P33" i="3"/>
  <c r="Q16" i="3"/>
  <c r="K59" i="3"/>
  <c r="O41" i="3"/>
  <c r="U41" i="3"/>
  <c r="M16" i="3"/>
  <c r="Z16" i="3"/>
  <c r="W13" i="3"/>
  <c r="O67" i="3"/>
  <c r="AB63" i="3"/>
  <c r="T11" i="3"/>
  <c r="L59" i="3"/>
  <c r="S59" i="3"/>
  <c r="V59" i="3"/>
  <c r="AA51" i="3"/>
  <c r="N51" i="3"/>
  <c r="W11" i="3"/>
  <c r="K11" i="3"/>
  <c r="R11" i="3"/>
  <c r="U47" i="3"/>
  <c r="K55" i="3"/>
  <c r="V55" i="3"/>
  <c r="AA63" i="3"/>
  <c r="Z63" i="3"/>
  <c r="R63" i="3"/>
  <c r="S55" i="3"/>
  <c r="X55" i="3"/>
  <c r="L55" i="3"/>
  <c r="W47" i="3"/>
  <c r="O47" i="3"/>
  <c r="U67" i="3"/>
  <c r="S11" i="3"/>
  <c r="W63" i="3"/>
  <c r="W55" i="3"/>
  <c r="L47" i="3"/>
  <c r="N16" i="3"/>
  <c r="K67" i="3"/>
  <c r="L11" i="3"/>
  <c r="Z67" i="3"/>
  <c r="S67" i="3"/>
  <c r="U16" i="3"/>
  <c r="Y11" i="3"/>
  <c r="AA16" i="3"/>
  <c r="R67" i="3"/>
  <c r="Y59" i="3"/>
  <c r="U59" i="3"/>
  <c r="U11" i="3"/>
  <c r="Q47" i="3"/>
  <c r="P47" i="3"/>
  <c r="O55" i="3"/>
  <c r="T47" i="3"/>
  <c r="AA67" i="3"/>
  <c r="P51" i="3"/>
  <c r="R51" i="3"/>
  <c r="K70" i="3"/>
  <c r="Y70" i="3"/>
  <c r="X70" i="3"/>
  <c r="L67" i="3"/>
  <c r="O59" i="3"/>
  <c r="Z51" i="3"/>
  <c r="K51" i="3"/>
  <c r="L51" i="3"/>
  <c r="X11" i="3"/>
  <c r="L63" i="3"/>
  <c r="U63" i="3"/>
  <c r="M63" i="3"/>
  <c r="Q55" i="3"/>
  <c r="Z47" i="3"/>
  <c r="AB47" i="3"/>
  <c r="O70" i="3"/>
  <c r="W59" i="3"/>
  <c r="P55" i="3"/>
  <c r="AB16" i="3"/>
  <c r="R16" i="3"/>
  <c r="W67" i="3"/>
  <c r="N13" i="3"/>
  <c r="Y16" i="3"/>
  <c r="AB67" i="3"/>
  <c r="O11" i="3"/>
  <c r="V16" i="3"/>
  <c r="AB70" i="3"/>
  <c r="Z70" i="3"/>
  <c r="P70" i="3"/>
  <c r="K16" i="3"/>
  <c r="AA70" i="3"/>
  <c r="Y67" i="3"/>
  <c r="Q51" i="3"/>
  <c r="M59" i="3"/>
  <c r="AA59" i="3"/>
  <c r="R59" i="3"/>
  <c r="U51" i="3"/>
  <c r="X51" i="3"/>
  <c r="V51" i="3"/>
  <c r="AB11" i="3"/>
  <c r="N11" i="3"/>
  <c r="P63" i="3"/>
  <c r="V11" i="3"/>
  <c r="Q59" i="3"/>
  <c r="N63" i="3"/>
  <c r="X63" i="3"/>
  <c r="Y55" i="3"/>
  <c r="Z55" i="3"/>
  <c r="AA55" i="3"/>
  <c r="X47" i="3"/>
  <c r="AA47" i="3"/>
  <c r="Y63" i="3"/>
  <c r="N59" i="3"/>
  <c r="M67" i="3"/>
  <c r="T55" i="3"/>
  <c r="W16" i="3"/>
  <c r="T16" i="3"/>
  <c r="K50" i="3"/>
  <c r="U50" i="3"/>
  <c r="AA50" i="3"/>
  <c r="M50" i="3"/>
  <c r="Q50" i="3"/>
  <c r="L50" i="3"/>
  <c r="S50" i="3"/>
  <c r="X50" i="3"/>
  <c r="Z50" i="3"/>
  <c r="V50" i="3"/>
  <c r="O50" i="3"/>
  <c r="S54" i="3"/>
  <c r="AA54" i="3"/>
  <c r="N54" i="3"/>
  <c r="U54" i="3"/>
  <c r="AB54" i="3"/>
  <c r="L54" i="3"/>
  <c r="W54" i="3"/>
  <c r="Z54" i="3"/>
  <c r="L58" i="3"/>
  <c r="Y58" i="3"/>
  <c r="M58" i="3"/>
  <c r="X58" i="3"/>
  <c r="AA58" i="3"/>
  <c r="P58" i="3"/>
  <c r="AB58" i="3"/>
  <c r="Z58" i="3"/>
  <c r="O58" i="3"/>
  <c r="T58" i="3"/>
  <c r="N58" i="3"/>
  <c r="K62" i="3"/>
  <c r="X62" i="3"/>
  <c r="M62" i="3"/>
  <c r="S62" i="3"/>
  <c r="L62" i="3"/>
  <c r="R62" i="3"/>
  <c r="V62" i="3"/>
  <c r="AB62" i="3"/>
  <c r="P62" i="3"/>
  <c r="T66" i="3"/>
  <c r="U66" i="3"/>
  <c r="O66" i="3"/>
  <c r="S66" i="3"/>
  <c r="Q66" i="3"/>
  <c r="K66" i="3"/>
  <c r="W66" i="3"/>
  <c r="Y66" i="3"/>
  <c r="V46" i="3"/>
  <c r="P46" i="3"/>
  <c r="Y46" i="3"/>
  <c r="Q46" i="3"/>
  <c r="S46" i="3"/>
  <c r="Z46" i="3"/>
  <c r="R46" i="3"/>
  <c r="X46" i="3"/>
  <c r="L46" i="3"/>
  <c r="AA46" i="3"/>
  <c r="N46" i="3"/>
  <c r="AB52" i="3"/>
  <c r="U46" i="3"/>
  <c r="N50" i="3"/>
  <c r="W46" i="3"/>
  <c r="AB46" i="3"/>
  <c r="T54" i="3"/>
  <c r="R50" i="3"/>
  <c r="AA52" i="3"/>
  <c r="N52" i="3"/>
  <c r="Q56" i="3"/>
  <c r="P48" i="3"/>
  <c r="M48" i="3"/>
  <c r="AB48" i="3"/>
  <c r="W48" i="3"/>
  <c r="R48" i="3"/>
  <c r="S48" i="3"/>
  <c r="V48" i="3"/>
  <c r="N48" i="3"/>
  <c r="O48" i="3"/>
  <c r="Z48" i="3"/>
  <c r="L48" i="3"/>
  <c r="U48" i="3"/>
  <c r="T48" i="3"/>
  <c r="X48" i="3"/>
  <c r="P52" i="3"/>
  <c r="U52" i="3"/>
  <c r="W52" i="3"/>
  <c r="Q52" i="3"/>
  <c r="S52" i="3"/>
  <c r="Z52" i="3"/>
  <c r="K52" i="3"/>
  <c r="M52" i="3"/>
  <c r="L52" i="3"/>
  <c r="R52" i="3"/>
  <c r="X52" i="3"/>
  <c r="P56" i="3"/>
  <c r="L56" i="3"/>
  <c r="Y56" i="3"/>
  <c r="AA56" i="3"/>
  <c r="AB56" i="3"/>
  <c r="N56" i="3"/>
  <c r="M56" i="3"/>
  <c r="U56" i="3"/>
  <c r="K56" i="3"/>
  <c r="X56" i="3"/>
  <c r="W56" i="3"/>
  <c r="Z56" i="3"/>
  <c r="T56" i="3"/>
  <c r="R60" i="3"/>
  <c r="K60" i="3"/>
  <c r="X60" i="3"/>
  <c r="M60" i="3"/>
  <c r="T60" i="3"/>
  <c r="AA60" i="3"/>
  <c r="AB60" i="3"/>
  <c r="Q60" i="3"/>
  <c r="L60" i="3"/>
  <c r="Z60" i="3"/>
  <c r="P60" i="3"/>
  <c r="W60" i="3"/>
  <c r="V64" i="3"/>
  <c r="M64" i="3"/>
  <c r="W64" i="3"/>
  <c r="P64" i="3"/>
  <c r="AA64" i="3"/>
  <c r="U64" i="3"/>
  <c r="X64" i="3"/>
  <c r="S64" i="3"/>
  <c r="AB64" i="3"/>
  <c r="Y64" i="3"/>
  <c r="P68" i="3"/>
  <c r="K68" i="3"/>
  <c r="Z68" i="3"/>
  <c r="Y68" i="3"/>
  <c r="S68" i="3"/>
  <c r="Q68" i="3"/>
  <c r="L68" i="3"/>
  <c r="AB68" i="3"/>
  <c r="AA68" i="3"/>
  <c r="M68" i="3"/>
  <c r="X68" i="3"/>
  <c r="N68" i="3"/>
  <c r="R68" i="3"/>
  <c r="Q48" i="3"/>
  <c r="O46" i="3"/>
  <c r="U15" i="3"/>
  <c r="Z15" i="3"/>
  <c r="P15" i="3"/>
  <c r="L15" i="3"/>
  <c r="K15" i="3"/>
  <c r="W15" i="3"/>
  <c r="S15" i="3"/>
  <c r="Y15" i="3"/>
  <c r="X15" i="3"/>
  <c r="O15" i="3"/>
  <c r="R15" i="3"/>
  <c r="V15" i="3"/>
  <c r="Q15" i="3"/>
  <c r="N15" i="3"/>
  <c r="V21" i="3"/>
  <c r="K21" i="3"/>
  <c r="AB21" i="3"/>
  <c r="T21" i="3"/>
  <c r="Y21" i="3"/>
  <c r="U21" i="3"/>
  <c r="V9" i="3"/>
  <c r="L21" i="3"/>
  <c r="U10" i="3"/>
  <c r="W10" i="3"/>
  <c r="K10" i="3"/>
  <c r="P10" i="3"/>
  <c r="T14" i="3"/>
  <c r="P14" i="3"/>
  <c r="W18" i="3"/>
  <c r="AA18" i="3"/>
  <c r="N18" i="3"/>
  <c r="Z18" i="3"/>
  <c r="U18" i="3"/>
  <c r="L18" i="3"/>
  <c r="M18" i="3"/>
  <c r="AA22" i="3"/>
  <c r="S22" i="3"/>
  <c r="U26" i="3"/>
  <c r="V26" i="3"/>
  <c r="K26" i="3"/>
  <c r="V13" i="3"/>
  <c r="Q13" i="3"/>
  <c r="AB9" i="3"/>
  <c r="X9" i="3"/>
  <c r="U9" i="3"/>
  <c r="AA25" i="3"/>
  <c r="K25" i="3"/>
  <c r="M21" i="3"/>
  <c r="O21" i="3"/>
  <c r="P21" i="3"/>
  <c r="X13" i="3"/>
  <c r="K13" i="3"/>
  <c r="M13" i="3"/>
  <c r="X25" i="3"/>
  <c r="Z25" i="3"/>
  <c r="N25" i="3"/>
  <c r="M9" i="3"/>
  <c r="AA9" i="3"/>
  <c r="S9" i="3"/>
  <c r="Y9" i="3"/>
  <c r="W9" i="3"/>
  <c r="Q25" i="3"/>
  <c r="R9" i="3"/>
  <c r="K9" i="3"/>
  <c r="R21" i="3"/>
  <c r="AB13" i="3"/>
  <c r="AA21" i="3"/>
  <c r="K7" i="3"/>
  <c r="S7" i="3"/>
  <c r="P7" i="3"/>
  <c r="U7" i="3"/>
  <c r="M7" i="3"/>
  <c r="P11" i="3"/>
  <c r="M11" i="3"/>
  <c r="Z11" i="3"/>
  <c r="M15" i="3"/>
  <c r="AB15" i="3"/>
  <c r="V19" i="3"/>
  <c r="AA19" i="3"/>
  <c r="O23" i="3"/>
  <c r="P23" i="3"/>
  <c r="AB23" i="3"/>
  <c r="S27" i="3"/>
  <c r="O27" i="3"/>
  <c r="AA13" i="3"/>
  <c r="R13" i="3"/>
  <c r="U13" i="3"/>
  <c r="Y25" i="3"/>
  <c r="O9" i="3"/>
  <c r="O25" i="3"/>
  <c r="T9" i="3"/>
  <c r="Z9" i="3"/>
  <c r="T25" i="3"/>
  <c r="W21" i="3"/>
  <c r="N21" i="3"/>
  <c r="Q21" i="3"/>
  <c r="L13" i="3"/>
  <c r="S21" i="3"/>
  <c r="P25" i="3"/>
  <c r="K8" i="3"/>
  <c r="W8" i="3"/>
  <c r="R20" i="3"/>
  <c r="M20" i="3"/>
  <c r="P24" i="3"/>
  <c r="L24" i="3"/>
  <c r="AA24" i="3"/>
  <c r="Q28" i="3"/>
  <c r="K32" i="3"/>
  <c r="M29" i="3"/>
  <c r="L29" i="3"/>
  <c r="V29" i="3"/>
  <c r="Q32" i="3"/>
  <c r="Y32" i="3"/>
  <c r="S32" i="3"/>
  <c r="S28" i="3"/>
  <c r="M32" i="3"/>
  <c r="U32" i="3"/>
  <c r="AB32" i="3"/>
  <c r="O71" i="3" l="1"/>
  <c r="O17" i="3"/>
  <c r="L17" i="3"/>
  <c r="V17" i="3"/>
  <c r="L20" i="3"/>
  <c r="S13" i="3"/>
  <c r="R19" i="3"/>
  <c r="M17" i="3"/>
  <c r="N26" i="3"/>
  <c r="V14" i="3"/>
  <c r="V71" i="3" s="1"/>
  <c r="P13" i="3"/>
  <c r="X17" i="3"/>
  <c r="X71" i="3" s="1"/>
  <c r="T13" i="3"/>
  <c r="U12" i="3"/>
  <c r="U71" i="3" s="1"/>
  <c r="R12" i="3"/>
  <c r="R71" i="3" s="1"/>
  <c r="M12" i="3"/>
  <c r="M71" i="3" s="1"/>
  <c r="N12" i="3"/>
  <c r="N71" i="3" s="1"/>
  <c r="M27" i="3"/>
  <c r="U27" i="3"/>
  <c r="Y27" i="3"/>
  <c r="O8" i="3"/>
  <c r="K35" i="3"/>
  <c r="Q39" i="3"/>
  <c r="Z39" i="3"/>
  <c r="Q35" i="3"/>
  <c r="N35" i="3"/>
  <c r="T39" i="3"/>
  <c r="Z20" i="3"/>
  <c r="V31" i="3"/>
  <c r="N39" i="3"/>
  <c r="P26" i="3"/>
  <c r="AB26" i="3"/>
  <c r="Z7" i="3"/>
  <c r="M14" i="3"/>
  <c r="S31" i="3"/>
  <c r="S71" i="3" s="1"/>
  <c r="T7" i="3"/>
  <c r="T71" i="3" s="1"/>
  <c r="K20" i="3"/>
  <c r="W20" i="3"/>
  <c r="Z17" i="3"/>
  <c r="S17" i="3"/>
  <c r="U17" i="3"/>
  <c r="O12" i="3"/>
  <c r="K12" i="3"/>
  <c r="AA17" i="3"/>
  <c r="R17" i="3"/>
  <c r="T17" i="3"/>
  <c r="W17" i="3"/>
  <c r="V20" i="3"/>
  <c r="K17" i="3"/>
  <c r="K71" i="3" s="1"/>
  <c r="S26" i="3"/>
  <c r="O13" i="3"/>
  <c r="N17" i="3"/>
  <c r="Y13" i="3"/>
  <c r="Y71" i="3" s="1"/>
  <c r="T12" i="3"/>
  <c r="Q12" i="3"/>
  <c r="Q71" i="3" s="1"/>
  <c r="AA12" i="3"/>
  <c r="AA71" i="3" s="1"/>
  <c r="O35" i="3"/>
  <c r="X39" i="3"/>
  <c r="M31" i="3"/>
  <c r="W31" i="3"/>
  <c r="X31" i="3"/>
  <c r="W7" i="3"/>
  <c r="Z31" i="3"/>
  <c r="AB17" i="3"/>
  <c r="P17" i="3"/>
  <c r="W12" i="3"/>
  <c r="P12" i="3"/>
  <c r="P71" i="3" s="1"/>
  <c r="Z12" i="3"/>
  <c r="AB12" i="3"/>
  <c r="Q17" i="3"/>
  <c r="L12" i="3"/>
  <c r="L71" i="3" s="1"/>
  <c r="R85" i="3" l="1"/>
  <c r="R86" i="3" s="1"/>
  <c r="S85" i="3"/>
  <c r="S86" i="3" s="1"/>
  <c r="I89" i="3"/>
  <c r="L85" i="3"/>
  <c r="L86" i="3" s="1"/>
  <c r="I87" i="3"/>
  <c r="M85" i="3"/>
  <c r="M86" i="3" s="1"/>
  <c r="I88" i="3"/>
  <c r="P85" i="3"/>
  <c r="P86" i="3" s="1"/>
  <c r="O85" i="3"/>
  <c r="O86" i="3" s="1"/>
  <c r="Z71" i="3"/>
  <c r="I92" i="3" s="1"/>
  <c r="I93" i="3"/>
  <c r="U85" i="3"/>
  <c r="U86" i="3" s="1"/>
  <c r="V85" i="3"/>
  <c r="V86" i="3" s="1"/>
  <c r="W71" i="3"/>
  <c r="AB71" i="3"/>
  <c r="T86" i="3" l="1"/>
  <c r="K86" i="3"/>
  <c r="AB85" i="3"/>
  <c r="AB86" i="3" s="1"/>
  <c r="AA85" i="3"/>
  <c r="AA86" i="3" s="1"/>
  <c r="I90" i="3"/>
  <c r="Y85" i="3"/>
  <c r="Y86" i="3" s="1"/>
  <c r="X85" i="3"/>
  <c r="X86" i="3" s="1"/>
  <c r="N86" i="3"/>
  <c r="Q86" i="3"/>
  <c r="W86" i="3" l="1"/>
  <c r="Z86" i="3"/>
  <c r="D86" i="3"/>
  <c r="I94" i="3"/>
</calcChain>
</file>

<file path=xl/sharedStrings.xml><?xml version="1.0" encoding="utf-8"?>
<sst xmlns="http://schemas.openxmlformats.org/spreadsheetml/2006/main" count="4231" uniqueCount="2787">
  <si>
    <t>and</t>
  </si>
  <si>
    <t>The cells below will autofill with the species' full name</t>
  </si>
  <si>
    <t>acac deal</t>
  </si>
  <si>
    <t>acac dora</t>
  </si>
  <si>
    <t>aira cary</t>
  </si>
  <si>
    <t>aira cupa</t>
  </si>
  <si>
    <t>Aira cupaniana</t>
  </si>
  <si>
    <t>aira eleg</t>
  </si>
  <si>
    <t>Aira elegantissima</t>
  </si>
  <si>
    <t>ajug aust</t>
  </si>
  <si>
    <t>allo lueh</t>
  </si>
  <si>
    <t>amph nerv</t>
  </si>
  <si>
    <t>Amphibromus nervosus</t>
  </si>
  <si>
    <t>anag arve</t>
  </si>
  <si>
    <t>Anagallis arvensis</t>
  </si>
  <si>
    <t>apha aust</t>
  </si>
  <si>
    <t>aris ramo</t>
  </si>
  <si>
    <t>arth mill</t>
  </si>
  <si>
    <t>aspe conf</t>
  </si>
  <si>
    <t>Asperula sp.</t>
  </si>
  <si>
    <t>aste subu</t>
  </si>
  <si>
    <t>Aster subulatus</t>
  </si>
  <si>
    <t>Austrostipa bigeniculata</t>
  </si>
  <si>
    <t>aust blac</t>
  </si>
  <si>
    <t>aust dens</t>
  </si>
  <si>
    <t>aust nodo</t>
  </si>
  <si>
    <t>aust scab</t>
  </si>
  <si>
    <t>aven fatu</t>
  </si>
  <si>
    <t>Avena fatua</t>
  </si>
  <si>
    <t>Avena sp.</t>
  </si>
  <si>
    <t>briz maxi</t>
  </si>
  <si>
    <t>Briza maxima</t>
  </si>
  <si>
    <t>briz mino</t>
  </si>
  <si>
    <t>Briza minor</t>
  </si>
  <si>
    <t>Briza sp.</t>
  </si>
  <si>
    <t>Bromus catharticus</t>
  </si>
  <si>
    <t>brom dian</t>
  </si>
  <si>
    <t>Bromus diandrus</t>
  </si>
  <si>
    <t>brom moll</t>
  </si>
  <si>
    <t>Bromus molliformis</t>
  </si>
  <si>
    <t>Bromus sp.</t>
  </si>
  <si>
    <t>bulb bulb</t>
  </si>
  <si>
    <t>Bulbine sp.</t>
  </si>
  <si>
    <t>calo lapp</t>
  </si>
  <si>
    <t>calo scap</t>
  </si>
  <si>
    <t>Calotis scapigera</t>
  </si>
  <si>
    <t>care appr</t>
  </si>
  <si>
    <t>care inve</t>
  </si>
  <si>
    <t>Centaurium erythraea</t>
  </si>
  <si>
    <t>cent cunn</t>
  </si>
  <si>
    <t>Centipeda cunninghamii</t>
  </si>
  <si>
    <t>cent mini</t>
  </si>
  <si>
    <t>cham drum</t>
  </si>
  <si>
    <t>chei aust</t>
  </si>
  <si>
    <t>Cheilanthes sp.</t>
  </si>
  <si>
    <t>Chenopodium sp.</t>
  </si>
  <si>
    <t>Chondrilla juncea</t>
  </si>
  <si>
    <t>Cirsium vulgare</t>
  </si>
  <si>
    <t>Conyza bonariensis</t>
  </si>
  <si>
    <t>Conyza canadensis</t>
  </si>
  <si>
    <t>Conyza parva</t>
  </si>
  <si>
    <t>Crepis capillaris</t>
  </si>
  <si>
    <t>Cymbonotus preissianus</t>
  </si>
  <si>
    <t>Dactylis glomerata</t>
  </si>
  <si>
    <t>Dichelachne sp.</t>
  </si>
  <si>
    <t>Diuris sp.</t>
  </si>
  <si>
    <t>Echium plantagineum</t>
  </si>
  <si>
    <t>Echium vulgare</t>
  </si>
  <si>
    <t>Eleusine tristachya</t>
  </si>
  <si>
    <t>Eragrostis curvula</t>
  </si>
  <si>
    <t>Eragrostis pilosa</t>
  </si>
  <si>
    <t>Eragrostis parviflora</t>
  </si>
  <si>
    <t>Euchiton sp.</t>
  </si>
  <si>
    <t>Hirschfeldia incana</t>
  </si>
  <si>
    <t>Hypericum perforatum</t>
  </si>
  <si>
    <t>Hypochaeris glabra</t>
  </si>
  <si>
    <t>Hypochaeris radicata</t>
  </si>
  <si>
    <t>Lactuca serriola</t>
  </si>
  <si>
    <t>Linaria pelisseriana</t>
  </si>
  <si>
    <t>Linum trigynum</t>
  </si>
  <si>
    <t>Lolium perenne</t>
  </si>
  <si>
    <t>Lolium rigidum</t>
  </si>
  <si>
    <t>Lythrum hyssopifolia</t>
  </si>
  <si>
    <t>Malva neglecta</t>
  </si>
  <si>
    <t>Marrubium vulgare</t>
  </si>
  <si>
    <t>Modiola caroliniana</t>
  </si>
  <si>
    <t>Oenothera stricta</t>
  </si>
  <si>
    <t>Oxalis articulata</t>
  </si>
  <si>
    <t>Oxalis corniculata</t>
  </si>
  <si>
    <t>Paronychia brasiliana</t>
  </si>
  <si>
    <t>Paspalum dilatatum</t>
  </si>
  <si>
    <t>Persicaria prostrata</t>
  </si>
  <si>
    <t>Petrorhagia nanteuilii</t>
  </si>
  <si>
    <t>Phalaris aquatica</t>
  </si>
  <si>
    <t>Plantago hispida</t>
  </si>
  <si>
    <t>Plantago lanceolata</t>
  </si>
  <si>
    <t>Poa annua</t>
  </si>
  <si>
    <t>Polycarpon tetraphyllum</t>
  </si>
  <si>
    <t>Polygonum aviculare</t>
  </si>
  <si>
    <t>Prasophyllum sp.</t>
  </si>
  <si>
    <t>Ranunculus sp.</t>
  </si>
  <si>
    <t>Rosa rubiginosa</t>
  </si>
  <si>
    <t>Rumex crispus</t>
  </si>
  <si>
    <t>Rumex dumosus</t>
  </si>
  <si>
    <t>Salvia verbenaca</t>
  </si>
  <si>
    <t>Solanum nigrum</t>
  </si>
  <si>
    <t>Sonchus asper</t>
  </si>
  <si>
    <t>Sonchus oleraceus</t>
  </si>
  <si>
    <t>Swainsona sp.</t>
  </si>
  <si>
    <t>Taraxacum officinale</t>
  </si>
  <si>
    <t>Thysanotus sp.</t>
  </si>
  <si>
    <t>Tragopogon porrifolius</t>
  </si>
  <si>
    <t>Tragopogon sp.</t>
  </si>
  <si>
    <t>Trifolium angustifolium</t>
  </si>
  <si>
    <t>Trifolium arvense</t>
  </si>
  <si>
    <t>Trifolium campestre</t>
  </si>
  <si>
    <t>Trifolium repens</t>
  </si>
  <si>
    <t>Trifolium sp.</t>
  </si>
  <si>
    <t>Trifolium striatum</t>
  </si>
  <si>
    <t>Verbascum thapsus</t>
  </si>
  <si>
    <t>Verbascum virgatum</t>
  </si>
  <si>
    <t>Verbena bonariensis</t>
  </si>
  <si>
    <t>Vittadinia sp.</t>
  </si>
  <si>
    <t>Vulpia bromoides</t>
  </si>
  <si>
    <t>Vulpia muralis</t>
  </si>
  <si>
    <t>Vulpia myuros</t>
  </si>
  <si>
    <t>Dichondra sp.</t>
  </si>
  <si>
    <t>Dichopogon sp.</t>
  </si>
  <si>
    <t>Stuartina muelleri</t>
  </si>
  <si>
    <t>Vittadinia cuneata</t>
  </si>
  <si>
    <t>Wahlenbergia gracilis</t>
  </si>
  <si>
    <t>Wahlenbergia stricta</t>
  </si>
  <si>
    <t>Cotula australis</t>
  </si>
  <si>
    <t>c</t>
  </si>
  <si>
    <t>Acacia doratoxylon</t>
  </si>
  <si>
    <t>Ajuga australis</t>
  </si>
  <si>
    <t>Aphanes australiana</t>
  </si>
  <si>
    <t>Aristida ramosa</t>
  </si>
  <si>
    <t>Arthropodium milleflorum</t>
  </si>
  <si>
    <t>Asperula conferta</t>
  </si>
  <si>
    <t>Bulbine bulbosa</t>
  </si>
  <si>
    <t>Calotis lappulacea</t>
  </si>
  <si>
    <t>Centipeda minima</t>
  </si>
  <si>
    <t>Chamaesyce drummondii</t>
  </si>
  <si>
    <t>Chloris truncata</t>
  </si>
  <si>
    <t>Chrysocephalum apiculatum</t>
  </si>
  <si>
    <t>Chrysocephalum semipapposum</t>
  </si>
  <si>
    <t>Clematis microphylla</t>
  </si>
  <si>
    <t>Cullen tenax</t>
  </si>
  <si>
    <t>Daucus glochidiatus</t>
  </si>
  <si>
    <t>Desmodium varians</t>
  </si>
  <si>
    <t>Dianella longifolia</t>
  </si>
  <si>
    <t>Dianella revoluta</t>
  </si>
  <si>
    <t>Dichondra repens</t>
  </si>
  <si>
    <t>Dichopogon fimbriatus</t>
  </si>
  <si>
    <t>Dichopogon strictus</t>
  </si>
  <si>
    <t>Dodonaea viscosa</t>
  </si>
  <si>
    <t>Drosera peltata</t>
  </si>
  <si>
    <t>Einadia hastata</t>
  </si>
  <si>
    <t>Einadia nutans</t>
  </si>
  <si>
    <t>Elymus scaber</t>
  </si>
  <si>
    <t>Erodium crinitum</t>
  </si>
  <si>
    <t>Glycine clandestina</t>
  </si>
  <si>
    <t>Glycine tabacina</t>
  </si>
  <si>
    <t>Goodenia pinnatifida</t>
  </si>
  <si>
    <t>Hydrocotyle laxiflora</t>
  </si>
  <si>
    <t>Isoetopsis graminifolia</t>
  </si>
  <si>
    <t>Leptorhynchos elongatus</t>
  </si>
  <si>
    <t>Linum marginale</t>
  </si>
  <si>
    <t>Lomandra filiformis</t>
  </si>
  <si>
    <t>Lotus australis</t>
  </si>
  <si>
    <t>Microseris lanceolata</t>
  </si>
  <si>
    <t>Panicum effusum</t>
  </si>
  <si>
    <t>Paspalum distichum</t>
  </si>
  <si>
    <t>Plantago gaudichaudii</t>
  </si>
  <si>
    <t>*</t>
  </si>
  <si>
    <t>Podolepis jaceoides</t>
  </si>
  <si>
    <t>Portulaca oleracea</t>
  </si>
  <si>
    <t>Rumex brownii</t>
  </si>
  <si>
    <t>Schoenus apogon</t>
  </si>
  <si>
    <t>Stackhousia monogyna</t>
  </si>
  <si>
    <t>Swainsona sericea</t>
  </si>
  <si>
    <t>Triptilodiscus pygmaeus</t>
  </si>
  <si>
    <t>Velleia paradoxa</t>
  </si>
  <si>
    <t>Xerochrysum viscosum</t>
  </si>
  <si>
    <t>both macr</t>
  </si>
  <si>
    <t>Carex inversa</t>
  </si>
  <si>
    <t>Cheilanthes sieberi</t>
  </si>
  <si>
    <t>Acacia dealbata</t>
  </si>
  <si>
    <t>Austrostipa sp.</t>
  </si>
  <si>
    <t>Echinopogon sp.</t>
  </si>
  <si>
    <t>Echium sp.</t>
  </si>
  <si>
    <t>Pterostylis sp.</t>
  </si>
  <si>
    <t>Verbascum sp.</t>
  </si>
  <si>
    <t>Austrostipa densiflora</t>
  </si>
  <si>
    <t>Austrostipa scabra</t>
  </si>
  <si>
    <t>Carex appressa</t>
  </si>
  <si>
    <t>Cheilanthes austrotenuifolia</t>
  </si>
  <si>
    <t>Crassula sieberiana</t>
  </si>
  <si>
    <t>Cynodon dactylon</t>
  </si>
  <si>
    <t>Dichelachne micrantha</t>
  </si>
  <si>
    <t>Echinopogon ovatus</t>
  </si>
  <si>
    <t>Euchiton sphaericus</t>
  </si>
  <si>
    <t>Juncus flavidus</t>
  </si>
  <si>
    <t>Juncus subsecundus</t>
  </si>
  <si>
    <t>Microtis unifolia</t>
  </si>
  <si>
    <t>Oxalis perennans</t>
  </si>
  <si>
    <t>Senecio hispidulus</t>
  </si>
  <si>
    <t>Ranunculus sessiliflorus</t>
  </si>
  <si>
    <t>Number of exotic species</t>
  </si>
  <si>
    <t>Total number of native species</t>
  </si>
  <si>
    <t>Austrostipa blackii</t>
  </si>
  <si>
    <t>Austrostipa nodosa</t>
  </si>
  <si>
    <t>Stellaria angustifolia</t>
  </si>
  <si>
    <t>Xerochrysum bracteatum</t>
  </si>
  <si>
    <t>Craspedia sp.</t>
  </si>
  <si>
    <t>Crassula sp.</t>
  </si>
  <si>
    <t>Eragrostis sp. (exotic species)</t>
  </si>
  <si>
    <t>Eragrostis sp. (native species)</t>
  </si>
  <si>
    <t>Eragrostis brownii</t>
  </si>
  <si>
    <t>Euchiton involucratus</t>
  </si>
  <si>
    <t>AMG Easting</t>
  </si>
  <si>
    <t>AMG Northing</t>
  </si>
  <si>
    <t>Tripogon loliiformis</t>
  </si>
  <si>
    <t>burs spin</t>
  </si>
  <si>
    <t>Bursaria spinosa</t>
  </si>
  <si>
    <t>brac dent</t>
  </si>
  <si>
    <t>Brachyscome dentata</t>
  </si>
  <si>
    <t>Rytidosperma sp.</t>
  </si>
  <si>
    <t>Dysphania pumilio</t>
  </si>
  <si>
    <t>arth minu</t>
  </si>
  <si>
    <t>Arthropodium minus</t>
  </si>
  <si>
    <t>Juncus filicaulis</t>
  </si>
  <si>
    <t>Geranium sp. (native species)</t>
  </si>
  <si>
    <t>Convolvulus angustissimus</t>
  </si>
  <si>
    <t>Floristic Value Score</t>
  </si>
  <si>
    <t>&lt; 5 % cover and solitary (&lt;4 individuals)</t>
  </si>
  <si>
    <t>&lt; 5 % cover and few (4-15 individuals)</t>
  </si>
  <si>
    <t>&lt; 5 % cover and numerous (&gt;15 individuals)</t>
  </si>
  <si>
    <t>Juncus capitatus</t>
  </si>
  <si>
    <t>Lepidium africanum</t>
  </si>
  <si>
    <t>Marsilea drummondii</t>
  </si>
  <si>
    <t>Medicago lupulina</t>
  </si>
  <si>
    <t>Sisymbrium officinale</t>
  </si>
  <si>
    <t>Trifolium subterraneum</t>
  </si>
  <si>
    <t>Amphibromus sp.</t>
  </si>
  <si>
    <t>Juncus sp. (native species)</t>
  </si>
  <si>
    <t>Juncus sp. (exotic species)</t>
  </si>
  <si>
    <t>Isolepis sp. (native species)</t>
  </si>
  <si>
    <t>Geranium sp. (exotic species)</t>
  </si>
  <si>
    <t>Isolepis sp. (exotic species)</t>
  </si>
  <si>
    <t>Tolpis barbata</t>
  </si>
  <si>
    <t>Wahlenbergia luteola</t>
  </si>
  <si>
    <t>The cells below will autofill with the species' regional Significance Rating</t>
  </si>
  <si>
    <t>Cyperus sp. (native species)</t>
  </si>
  <si>
    <t>Cyperus sp. (exotic species)</t>
  </si>
  <si>
    <t>. if 4 + 4 letter codes are not unique</t>
  </si>
  <si>
    <t>card nuta</t>
  </si>
  <si>
    <t>Carduus nutans</t>
  </si>
  <si>
    <t>Only fill in the</t>
  </si>
  <si>
    <t>cells</t>
  </si>
  <si>
    <t>RED cells contain data entry instructions (see below)</t>
  </si>
  <si>
    <t>.</t>
  </si>
  <si>
    <t>3 to 7</t>
  </si>
  <si>
    <t>Significance ratings</t>
  </si>
  <si>
    <t>Erodium cicutarium</t>
  </si>
  <si>
    <t>Total non-grass species</t>
  </si>
  <si>
    <t>Level 2 species (BB 3 to 7)</t>
  </si>
  <si>
    <t>Level 1 species (BB 3 to 7)</t>
  </si>
  <si>
    <t>Common species (BB 3 to 7)</t>
  </si>
  <si>
    <t>The yellow box above returns the Floristic Value Score for this plot</t>
  </si>
  <si>
    <r>
      <t xml:space="preserve">If the site is a drainage depression or flat, and </t>
    </r>
    <r>
      <rPr>
        <b/>
        <i/>
        <sz val="12"/>
        <rFont val="Arial"/>
        <family val="2"/>
      </rPr>
      <t xml:space="preserve">Poa labillardierei </t>
    </r>
    <r>
      <rPr>
        <b/>
        <sz val="12"/>
        <rFont val="Arial"/>
        <family val="2"/>
      </rPr>
      <t>is present at the site with BB value &gt; 7, then add the value of "1" in this box</t>
    </r>
  </si>
  <si>
    <t>Abutilon fraseri</t>
  </si>
  <si>
    <t>Acacia brachybotrya</t>
  </si>
  <si>
    <t>Acacia deanei</t>
  </si>
  <si>
    <t>Acacia decora</t>
  </si>
  <si>
    <t>Acacia falcata</t>
  </si>
  <si>
    <t>Acacia hakeoides</t>
  </si>
  <si>
    <t>Acacia homalophylla</t>
  </si>
  <si>
    <t>Acacia linearifolia</t>
  </si>
  <si>
    <t>Acacia montana</t>
  </si>
  <si>
    <t>Acacia oswaldii</t>
  </si>
  <si>
    <t>Acacia pendula</t>
  </si>
  <si>
    <t>Acacia salicina</t>
  </si>
  <si>
    <t>Actinobole uliginosum</t>
  </si>
  <si>
    <t>Alectryon oleifolius</t>
  </si>
  <si>
    <t>Allocasuarina luehmannii</t>
  </si>
  <si>
    <t>Alopecurus geniculatus</t>
  </si>
  <si>
    <t>Alternanthera denticulata</t>
  </si>
  <si>
    <t>Alternanthera nana</t>
  </si>
  <si>
    <t>Alternanthera pungens</t>
  </si>
  <si>
    <t>Alternanthera sp. A</t>
  </si>
  <si>
    <t>Amyema sp.</t>
  </si>
  <si>
    <t>Apophyllum anomalum</t>
  </si>
  <si>
    <t>Arctotheca calendula</t>
  </si>
  <si>
    <t>Aristida behriana</t>
  </si>
  <si>
    <t>Aristida calycina</t>
  </si>
  <si>
    <t>Aristida jerichoensis</t>
  </si>
  <si>
    <t>Aristida personata</t>
  </si>
  <si>
    <t>Arthropodium sp.</t>
  </si>
  <si>
    <t>Asphodelus fistulosus</t>
  </si>
  <si>
    <t>Atriplex leptocarpa</t>
  </si>
  <si>
    <t>Atriplex semibaccata</t>
  </si>
  <si>
    <t>Atriplex sp.</t>
  </si>
  <si>
    <t>Atriplex spinibractea</t>
  </si>
  <si>
    <t>Austrostipa elegantissima</t>
  </si>
  <si>
    <t>Austrostipa mollis</t>
  </si>
  <si>
    <t>Austrostipa nitida</t>
  </si>
  <si>
    <t>Austrostipa setacea</t>
  </si>
  <si>
    <t>Austrostipa verticillata</t>
  </si>
  <si>
    <t>Avena sativa</t>
  </si>
  <si>
    <t>Boerhavia diffusa</t>
  </si>
  <si>
    <t>Boerhavia dominii</t>
  </si>
  <si>
    <t>Bothriochloa decipiens</t>
  </si>
  <si>
    <t>Bothriochloa macra</t>
  </si>
  <si>
    <t>Brachychiton populneus</t>
  </si>
  <si>
    <t>Brachyscome chrysoglossa</t>
  </si>
  <si>
    <t>Brachyscome ciliaris</t>
  </si>
  <si>
    <t>Brachyscome curvicarpa</t>
  </si>
  <si>
    <t>Brachyscome sp.</t>
  </si>
  <si>
    <t>Bulbine semibarbata</t>
  </si>
  <si>
    <t>Calandrinia eremaea</t>
  </si>
  <si>
    <t>Callitris glaucophylla</t>
  </si>
  <si>
    <t>Calocephalus sonderi</t>
  </si>
  <si>
    <t>Calotis cuneata</t>
  </si>
  <si>
    <t>Calotis cuneifolia</t>
  </si>
  <si>
    <t>Calotis hispidula</t>
  </si>
  <si>
    <t>Calotis sp.</t>
  </si>
  <si>
    <t>Capsella bursa-pastoris</t>
  </si>
  <si>
    <t>Carthamus lanatus</t>
  </si>
  <si>
    <t>Centaurea melitensis</t>
  </si>
  <si>
    <t>Chenopodium melanocarpum</t>
  </si>
  <si>
    <t>Citrullus lanatus</t>
  </si>
  <si>
    <t>Convolvulus graminetinus</t>
  </si>
  <si>
    <t>Convolvulus sp.</t>
  </si>
  <si>
    <t>Crassula colorata</t>
  </si>
  <si>
    <t>Crassula decumbens</t>
  </si>
  <si>
    <t>Cyperus difformis</t>
  </si>
  <si>
    <t>Dactyloctenium radulans</t>
  </si>
  <si>
    <t>Dianella porracea</t>
  </si>
  <si>
    <t>Digitaria ammophila</t>
  </si>
  <si>
    <t>Digitaria coenicola</t>
  </si>
  <si>
    <t>Digitaria divaricatissima</t>
  </si>
  <si>
    <t>Drosera glanduligera</t>
  </si>
  <si>
    <t>Duma florulenta</t>
  </si>
  <si>
    <t>Ehrharta erecta</t>
  </si>
  <si>
    <t>Eleocharis pallens</t>
  </si>
  <si>
    <t>Enchylaena tomentosa</t>
  </si>
  <si>
    <t>Eragrostis cilianensis</t>
  </si>
  <si>
    <t>Eragrostis elongata</t>
  </si>
  <si>
    <t>Eragrostis lacunaria</t>
  </si>
  <si>
    <t>Eremophila debilis</t>
  </si>
  <si>
    <t>Eremophila deserti</t>
  </si>
  <si>
    <t>Eremophila longifolia</t>
  </si>
  <si>
    <t>Eriochloa crebra</t>
  </si>
  <si>
    <t>Eriochloa pseudoacrotricha</t>
  </si>
  <si>
    <t>Eryngium paludosum</t>
  </si>
  <si>
    <t>Eucalyptus camaldulensis</t>
  </si>
  <si>
    <t>Eucalyptus chloroclada</t>
  </si>
  <si>
    <t>Eucalyptus conica</t>
  </si>
  <si>
    <t>Eucalyptus largiflorens</t>
  </si>
  <si>
    <t>Eucalyptus microcarpa</t>
  </si>
  <si>
    <t>Eucalyptus populnea</t>
  </si>
  <si>
    <t>Eulalia aurea</t>
  </si>
  <si>
    <t>Euphorbia planiticola</t>
  </si>
  <si>
    <t>Exocarpos aphyllus</t>
  </si>
  <si>
    <t>Geijera parviflora</t>
  </si>
  <si>
    <t>Geococcus pusillus</t>
  </si>
  <si>
    <t>Glycine canescens</t>
  </si>
  <si>
    <t>Goodenia fascicularis</t>
  </si>
  <si>
    <t>Goodenia glauca</t>
  </si>
  <si>
    <t>Goodenia macbarronii</t>
  </si>
  <si>
    <t>Heliotropium europaeum</t>
  </si>
  <si>
    <t>Hordeum leporinum</t>
  </si>
  <si>
    <t>Hyalosperma semisterile</t>
  </si>
  <si>
    <t>Jasminum lineare</t>
  </si>
  <si>
    <t>Juncus aridicola</t>
  </si>
  <si>
    <t>Juncus radula</t>
  </si>
  <si>
    <t>Juncus usitatus</t>
  </si>
  <si>
    <t>Lachnagrostis filiformis</t>
  </si>
  <si>
    <t>Leiocarpa leptolepis</t>
  </si>
  <si>
    <t>Leiocarpa panaetioides</t>
  </si>
  <si>
    <t>Leiocarpa semicalva</t>
  </si>
  <si>
    <t>Leiocarpa tomentosa</t>
  </si>
  <si>
    <t>Lepidium pseudohyssopifolium</t>
  </si>
  <si>
    <t>Leptorhynchos squamatus</t>
  </si>
  <si>
    <t>Lolium loliaceum</t>
  </si>
  <si>
    <t>Lycium ferocissimum</t>
  </si>
  <si>
    <t>Maireana aphylla</t>
  </si>
  <si>
    <t>Maireana appressa</t>
  </si>
  <si>
    <t>Maireana coronata</t>
  </si>
  <si>
    <t>Maireana decalvans</t>
  </si>
  <si>
    <t>Maireana enchylaenoides</t>
  </si>
  <si>
    <t>Maireana microcarpa</t>
  </si>
  <si>
    <t>Maireana microphylla</t>
  </si>
  <si>
    <t>Maireana pentagona</t>
  </si>
  <si>
    <t>Maireana sp.</t>
  </si>
  <si>
    <t>Malva parviflora</t>
  </si>
  <si>
    <t>Medicago polymorpha</t>
  </si>
  <si>
    <t>Medicago truncatula</t>
  </si>
  <si>
    <t>Minuria cunninghamii</t>
  </si>
  <si>
    <t>Minuria leptophylla</t>
  </si>
  <si>
    <t>Olearia pimeleoides</t>
  </si>
  <si>
    <t>Ophioglossum lusitanicum</t>
  </si>
  <si>
    <t>Panicum buncei</t>
  </si>
  <si>
    <t>Panicum laevinode</t>
  </si>
  <si>
    <t>Panicum queenslandicum</t>
  </si>
  <si>
    <t>Panicum simile</t>
  </si>
  <si>
    <t>Panicum sp.</t>
  </si>
  <si>
    <t>Paspalidium constrictum</t>
  </si>
  <si>
    <t>Paspalidium distans</t>
  </si>
  <si>
    <t>Pennisetum clandestinum</t>
  </si>
  <si>
    <t>Persicaria lapathifolia</t>
  </si>
  <si>
    <t>Phalaris minor</t>
  </si>
  <si>
    <t>Phalaris paradoxa</t>
  </si>
  <si>
    <t>Pimelea linifolia</t>
  </si>
  <si>
    <t>Pittosporum angustifolium</t>
  </si>
  <si>
    <t>Plantago cunninghamii</t>
  </si>
  <si>
    <t>Plantago debilis</t>
  </si>
  <si>
    <t>Plantago turrifera</t>
  </si>
  <si>
    <t>Poa sp.</t>
  </si>
  <si>
    <t>Podolepis arachnoidea</t>
  </si>
  <si>
    <t>Podolepis muelleri</t>
  </si>
  <si>
    <t>Polygonum arenastrum</t>
  </si>
  <si>
    <t>Polygonum plebeium</t>
  </si>
  <si>
    <t>Ptilotus exaltatus</t>
  </si>
  <si>
    <t>Ptilotus macrocephalus</t>
  </si>
  <si>
    <t>Ptilotus nobilis</t>
  </si>
  <si>
    <t>Ptilotus obovatus</t>
  </si>
  <si>
    <t>Pycnosorus globosus</t>
  </si>
  <si>
    <t>Pycnosorus thompsonianus</t>
  </si>
  <si>
    <t>Rapistrum rugosum</t>
  </si>
  <si>
    <t>Rhagodia spinescens</t>
  </si>
  <si>
    <t>Rhodanthe corymbiflora</t>
  </si>
  <si>
    <t>Rhodanthe diffusa</t>
  </si>
  <si>
    <t>Rhodanthe sp.</t>
  </si>
  <si>
    <t>Rumex tenax</t>
  </si>
  <si>
    <t>Rytidosperma fulvum</t>
  </si>
  <si>
    <t>Rytidosperma setaceum</t>
  </si>
  <si>
    <t>Santalum acuminatum</t>
  </si>
  <si>
    <t>Scleroblitum atriplicinum</t>
  </si>
  <si>
    <t>Sclerolaena birchii</t>
  </si>
  <si>
    <t>Sclerolaena muricata</t>
  </si>
  <si>
    <t>Sclerolaena stelligera</t>
  </si>
  <si>
    <t>Senecio quadridentatus</t>
  </si>
  <si>
    <t>Senecio tenuiflorus</t>
  </si>
  <si>
    <t>Senna artemisioides</t>
  </si>
  <si>
    <t>Sida corrugata</t>
  </si>
  <si>
    <t>Sida cunninghamii</t>
  </si>
  <si>
    <t>Sida intricata</t>
  </si>
  <si>
    <t>Sida sp.</t>
  </si>
  <si>
    <t>Sida trichopoda</t>
  </si>
  <si>
    <t>Sisymbrium irio</t>
  </si>
  <si>
    <t>Solanum esuriale</t>
  </si>
  <si>
    <t>Solanum ferocissimum</t>
  </si>
  <si>
    <t>Solenogyne bellioides</t>
  </si>
  <si>
    <t>Spergularia rubra</t>
  </si>
  <si>
    <t>Sporobolus caroli</t>
  </si>
  <si>
    <t>Swainsona behriana</t>
  </si>
  <si>
    <t>Swainsona greyana</t>
  </si>
  <si>
    <t>Swainsona murrayana</t>
  </si>
  <si>
    <t>Swainsona oroboides</t>
  </si>
  <si>
    <t>Swainsona procumbens</t>
  </si>
  <si>
    <t>Swainsona swainsonioides</t>
  </si>
  <si>
    <t>Tetragonia tetragonioides</t>
  </si>
  <si>
    <t>Thysanotus patersonii</t>
  </si>
  <si>
    <t>Thysanotus tuberosus</t>
  </si>
  <si>
    <t>Tragus australianus</t>
  </si>
  <si>
    <t>Tricoryne elatior</t>
  </si>
  <si>
    <t>Urtica urens</t>
  </si>
  <si>
    <t>Verbena officinalis</t>
  </si>
  <si>
    <t>Vicia sativa</t>
  </si>
  <si>
    <t>Vittadinia cervicularis</t>
  </si>
  <si>
    <t>Vittadinia pterochaeta</t>
  </si>
  <si>
    <t>Vittadinia sulcata</t>
  </si>
  <si>
    <t>Wahlenbergia gracilenta</t>
  </si>
  <si>
    <t>Wahlenbergia sp.</t>
  </si>
  <si>
    <t>Walwhalleya proluta</t>
  </si>
  <si>
    <t>Walwhalleya subxerophila</t>
  </si>
  <si>
    <t>Wurmbea dioica</t>
  </si>
  <si>
    <t>Xanthium occidentale</t>
  </si>
  <si>
    <t>Xanthium spinosum</t>
  </si>
  <si>
    <t>Zaleya galericulata</t>
  </si>
  <si>
    <t>Zygophyllum glaucum</t>
  </si>
  <si>
    <t>abut fras</t>
  </si>
  <si>
    <t>acac brac</t>
  </si>
  <si>
    <t>acac dean</t>
  </si>
  <si>
    <t>acac deco</t>
  </si>
  <si>
    <t>acac hake</t>
  </si>
  <si>
    <t>acac mont</t>
  </si>
  <si>
    <t>acac oswa</t>
  </si>
  <si>
    <t>acac pend</t>
  </si>
  <si>
    <t>acti ulig</t>
  </si>
  <si>
    <t>alop geni</t>
  </si>
  <si>
    <t>alte dent</t>
  </si>
  <si>
    <t>alte nana</t>
  </si>
  <si>
    <t>alte pung</t>
  </si>
  <si>
    <t>aris behr</t>
  </si>
  <si>
    <t>aris echi</t>
  </si>
  <si>
    <t>aris jeri</t>
  </si>
  <si>
    <t>aris pers</t>
  </si>
  <si>
    <t>asph fist</t>
  </si>
  <si>
    <t>atri lept</t>
  </si>
  <si>
    <t>atri semi</t>
  </si>
  <si>
    <t>atri spin</t>
  </si>
  <si>
    <t>aust eleg</t>
  </si>
  <si>
    <t>aust moll</t>
  </si>
  <si>
    <t>aust niti</t>
  </si>
  <si>
    <t>aust seta</t>
  </si>
  <si>
    <t>aust vert</t>
  </si>
  <si>
    <t>aven sati</t>
  </si>
  <si>
    <t>boer diff</t>
  </si>
  <si>
    <t>boer domi</t>
  </si>
  <si>
    <t>both deci</t>
  </si>
  <si>
    <t>brac popu</t>
  </si>
  <si>
    <t>brac curv</t>
  </si>
  <si>
    <t>brac cili</t>
  </si>
  <si>
    <t>bulb semi</t>
  </si>
  <si>
    <t>cala erem</t>
  </si>
  <si>
    <t>call glau</t>
  </si>
  <si>
    <t>calo sond</t>
  </si>
  <si>
    <t>calo hisp</t>
  </si>
  <si>
    <t>caps burs</t>
  </si>
  <si>
    <t>cart lana</t>
  </si>
  <si>
    <t>cent meli</t>
  </si>
  <si>
    <t>Cucumis myriocarpus</t>
  </si>
  <si>
    <t>Lomandra leucocephala</t>
  </si>
  <si>
    <t>Drosera sp.</t>
  </si>
  <si>
    <t>arct cale</t>
  </si>
  <si>
    <t>Abutilon cryptopetalum</t>
  </si>
  <si>
    <t>Abutilon oxycarpum</t>
  </si>
  <si>
    <t>Abutilon sp.</t>
  </si>
  <si>
    <t>Abutilon tubulosum</t>
  </si>
  <si>
    <t>Acacia baileyana</t>
  </si>
  <si>
    <t>Acacia brownii</t>
  </si>
  <si>
    <t>Acacia buxifolia</t>
  </si>
  <si>
    <t>Acacia cheelii</t>
  </si>
  <si>
    <t>Acacia dawsonii</t>
  </si>
  <si>
    <t>Acacia falciformis</t>
  </si>
  <si>
    <t>Acacia filicifolia</t>
  </si>
  <si>
    <t>Acacia flexifolia</t>
  </si>
  <si>
    <t>Acacia gunnii</t>
  </si>
  <si>
    <t>Acacia implexa</t>
  </si>
  <si>
    <t>Acacia leiocalyx</t>
  </si>
  <si>
    <t>Acacia leucoclada</t>
  </si>
  <si>
    <t>Acacia lineata</t>
  </si>
  <si>
    <t>Acacia melanoxylon</t>
  </si>
  <si>
    <t>Acacia neriifolia</t>
  </si>
  <si>
    <t>Acacia nova-anglica</t>
  </si>
  <si>
    <t>Acacia paradoxa</t>
  </si>
  <si>
    <t>Acacia penninervis</t>
  </si>
  <si>
    <t>Acacia sp.</t>
  </si>
  <si>
    <t>Acacia spectabilis</t>
  </si>
  <si>
    <t>Acacia stenophylla</t>
  </si>
  <si>
    <t>Acacia uncinata</t>
  </si>
  <si>
    <t>Acacia verniciflua</t>
  </si>
  <si>
    <t>Acacia viscidula</t>
  </si>
  <si>
    <t>Acaena agnipila</t>
  </si>
  <si>
    <t>Acaena echinata</t>
  </si>
  <si>
    <t>Acaena novae-zelandiae</t>
  </si>
  <si>
    <t>Acaena ovina</t>
  </si>
  <si>
    <t>Acaena sp.</t>
  </si>
  <si>
    <t>Acrotriche serrulata</t>
  </si>
  <si>
    <t>Actinotus gibbonsii</t>
  </si>
  <si>
    <t>Actinotus helianthi</t>
  </si>
  <si>
    <t>Adiantum aethiopicum</t>
  </si>
  <si>
    <t>Adiantum hispidulum</t>
  </si>
  <si>
    <t>Aira caryophyllea</t>
  </si>
  <si>
    <t>Allocasuarina sp.</t>
  </si>
  <si>
    <t>Alphitonia excelsa</t>
  </si>
  <si>
    <t>Alstonia constricta</t>
  </si>
  <si>
    <t>Alternanthera nodiflora</t>
  </si>
  <si>
    <t>Alternanthera sp.</t>
  </si>
  <si>
    <t>Amaranthus macrocarpus</t>
  </si>
  <si>
    <t>Amaranthus mitchellii</t>
  </si>
  <si>
    <t>Amaranthus retroflexus</t>
  </si>
  <si>
    <t>Amaranthus viridis</t>
  </si>
  <si>
    <t>Ambrosia artemisiifolia</t>
  </si>
  <si>
    <t>Ammobium alatum</t>
  </si>
  <si>
    <t>Amyema miquelii</t>
  </si>
  <si>
    <t>No score</t>
  </si>
  <si>
    <t>Amyema miraculosum</t>
  </si>
  <si>
    <t>Anchusa arvensis</t>
  </si>
  <si>
    <t>Angophora costata</t>
  </si>
  <si>
    <t>Angophora floribunda</t>
  </si>
  <si>
    <t>Aphanes sp.</t>
  </si>
  <si>
    <t>Arenaria leptoclados</t>
  </si>
  <si>
    <t>Arenaria serpyllifolia</t>
  </si>
  <si>
    <t>Argemone ochroleuca</t>
  </si>
  <si>
    <t>Aristida benthamii</t>
  </si>
  <si>
    <t>Aristida caput-medusae</t>
  </si>
  <si>
    <t xml:space="preserve">Aristida echinata </t>
  </si>
  <si>
    <t>Aristida latifolia</t>
  </si>
  <si>
    <t>Aristida leptopoda</t>
  </si>
  <si>
    <t>Aristida platychaeta</t>
  </si>
  <si>
    <t>Aristida psammophila</t>
  </si>
  <si>
    <t>Aristida sp.</t>
  </si>
  <si>
    <t>Aristida vagans</t>
  </si>
  <si>
    <t>Aristida warburgii</t>
  </si>
  <si>
    <t>Arthropodium species A</t>
  </si>
  <si>
    <t>Arthropodium species B</t>
  </si>
  <si>
    <t>Arundinella nepalensis</t>
  </si>
  <si>
    <t>Asparagus officinalis</t>
  </si>
  <si>
    <t>Asperula cunninghamii</t>
  </si>
  <si>
    <t>Asperula scoparia</t>
  </si>
  <si>
    <t>Asplenium flabellifolium</t>
  </si>
  <si>
    <t>Astroloma humifusum</t>
  </si>
  <si>
    <t>Atalaya hemiglauca</t>
  </si>
  <si>
    <t>Atriplex muelleri</t>
  </si>
  <si>
    <t>Atriplex suberecta</t>
  </si>
  <si>
    <t>Austrostipa ramosissima</t>
  </si>
  <si>
    <t>Austrostipa rudis</t>
  </si>
  <si>
    <t>Austrostipa tuckeri</t>
  </si>
  <si>
    <t>Banksia marginata</t>
  </si>
  <si>
    <t>Bertya cunninghamii</t>
  </si>
  <si>
    <t>Bertya gummifera</t>
  </si>
  <si>
    <t>Beyeria viscosa</t>
  </si>
  <si>
    <t>Bidens pilosa</t>
  </si>
  <si>
    <t>Bidens subalternans</t>
  </si>
  <si>
    <t>Billardiera scandens</t>
  </si>
  <si>
    <t>Blechnum nudum</t>
  </si>
  <si>
    <t>Boerhavia repleta</t>
  </si>
  <si>
    <t>Boerhavia sp.</t>
  </si>
  <si>
    <t>Bossiaea buxifolia</t>
  </si>
  <si>
    <t>Bossiaea neo-anglica</t>
  </si>
  <si>
    <t>Bossiaea sp.</t>
  </si>
  <si>
    <t>Bothriochloa biloba</t>
  </si>
  <si>
    <t>Bothriochloa bladhii</t>
  </si>
  <si>
    <t>Bothriochloa erianthoides</t>
  </si>
  <si>
    <t>Bothriochloa sp.</t>
  </si>
  <si>
    <t>Brachyloma daphnoides</t>
  </si>
  <si>
    <t>Brachypodium distachyon</t>
  </si>
  <si>
    <t>Brachyscome dissectifolia</t>
  </si>
  <si>
    <t>Brachyscome diversifolia</t>
  </si>
  <si>
    <t>Brachyscome formosa</t>
  </si>
  <si>
    <t>Brachyscome melanocarpa</t>
  </si>
  <si>
    <t>Brachyscome microcarpa</t>
  </si>
  <si>
    <t>Brachyscome multifida</t>
  </si>
  <si>
    <t>Brachyscome nova-anglica</t>
  </si>
  <si>
    <t>Brachyscome procumbens</t>
  </si>
  <si>
    <t>Brachyscome spathulata</t>
  </si>
  <si>
    <t>Brachyscome tenuiscapa</t>
  </si>
  <si>
    <t>Brachyscome trachycarpa</t>
  </si>
  <si>
    <t>Brassica rapa</t>
  </si>
  <si>
    <t>Breynia oblongifolia</t>
  </si>
  <si>
    <t>Bromus arenarius</t>
  </si>
  <si>
    <t>Bromus brevis</t>
  </si>
  <si>
    <t>Bromus hordeaceus</t>
  </si>
  <si>
    <t>Brunonia australis</t>
  </si>
  <si>
    <t>Brunoniella australis</t>
  </si>
  <si>
    <t>Bulbine alata</t>
  </si>
  <si>
    <t>Bulbine glauca</t>
  </si>
  <si>
    <t>Caesia calliantha</t>
  </si>
  <si>
    <t>Caesia parviflora</t>
  </si>
  <si>
    <t>Caesia sp.</t>
  </si>
  <si>
    <t>Caladenia sp.</t>
  </si>
  <si>
    <t>Caladenia tentaculata</t>
  </si>
  <si>
    <t>Callistemon sieberi</t>
  </si>
  <si>
    <t>Callitris endlicheri</t>
  </si>
  <si>
    <t>Calochilus robertsonii</t>
  </si>
  <si>
    <t>Calotis dentex</t>
  </si>
  <si>
    <t>Calotis scabiosifolia</t>
  </si>
  <si>
    <t>Calytrix tetragona</t>
  </si>
  <si>
    <t>Capparis mitchellii</t>
  </si>
  <si>
    <t>Cardamine lilacina</t>
  </si>
  <si>
    <t>Carduus pycnocephalus</t>
  </si>
  <si>
    <t>Carex bichenoviana</t>
  </si>
  <si>
    <t>Carex breviculmis</t>
  </si>
  <si>
    <t>Carex gaudichaudiana</t>
  </si>
  <si>
    <t>Carex incomitata</t>
  </si>
  <si>
    <t>Carex sp.</t>
  </si>
  <si>
    <t>Carissa ovata</t>
  </si>
  <si>
    <t>Carthamus tinctorius</t>
  </si>
  <si>
    <t>Cassinia aculeata</t>
  </si>
  <si>
    <t>Cassinia adunca</t>
  </si>
  <si>
    <t>Cassinia arcuata</t>
  </si>
  <si>
    <t>Cassinia laevis</t>
  </si>
  <si>
    <t>Cassinia quinquefaria</t>
  </si>
  <si>
    <t>Cassinia sp.</t>
  </si>
  <si>
    <t>Cassinia uncata</t>
  </si>
  <si>
    <t>Cassytha glabella</t>
  </si>
  <si>
    <t>Cassytha pubescens</t>
  </si>
  <si>
    <t>Cassytha sp.</t>
  </si>
  <si>
    <t>Casuarina cristata</t>
  </si>
  <si>
    <t>Casuarina cunninghamiana</t>
  </si>
  <si>
    <t>Cenchrus ciliaris</t>
  </si>
  <si>
    <t>Cenchrus incertus</t>
  </si>
  <si>
    <t>Centaurea solstitialis</t>
  </si>
  <si>
    <t>Centaurium tenuiflorum</t>
  </si>
  <si>
    <t>Centella asiatica</t>
  </si>
  <si>
    <t>Centella sp.</t>
  </si>
  <si>
    <t>Centipeda sp.</t>
  </si>
  <si>
    <t>Centipeda thespidioides</t>
  </si>
  <si>
    <t>Centrolepis strigosa</t>
  </si>
  <si>
    <t>Cestrum parqui</t>
  </si>
  <si>
    <t>Chamaesyce dallachyana</t>
  </si>
  <si>
    <t>Chamaesyce sp.</t>
  </si>
  <si>
    <t>Chamaesyce sp. A</t>
  </si>
  <si>
    <t>Cheilanthes distans</t>
  </si>
  <si>
    <t>Cheiranthera cyanea</t>
  </si>
  <si>
    <t>Chenopodium carinatum</t>
  </si>
  <si>
    <t>Chenopodium desertorum</t>
  </si>
  <si>
    <t>Chloris divaricata</t>
  </si>
  <si>
    <t>Chloris gayana</t>
  </si>
  <si>
    <t>Chloris sp.</t>
  </si>
  <si>
    <t>Chloris ventricosa</t>
  </si>
  <si>
    <t>Chloris virgata</t>
  </si>
  <si>
    <t>Choretrum pauciflorum</t>
  </si>
  <si>
    <t>Chrysocephalum sp.</t>
  </si>
  <si>
    <t>Chrysopogon fallax</t>
  </si>
  <si>
    <t>Citrullus colocynthis</t>
  </si>
  <si>
    <t>Clematicissus opaca</t>
  </si>
  <si>
    <t>Clematis glycinoides</t>
  </si>
  <si>
    <t>Commelina cyanea</t>
  </si>
  <si>
    <t>Convolvulus arvensis</t>
  </si>
  <si>
    <t>Conyza sumatrensis</t>
  </si>
  <si>
    <t>Correa reflexa</t>
  </si>
  <si>
    <t>Craspedia variabilis</t>
  </si>
  <si>
    <t>Crassula peduncularis</t>
  </si>
  <si>
    <t>Crinum flaccidum</t>
  </si>
  <si>
    <t>Crotalaria dissitiflora</t>
  </si>
  <si>
    <t>Cryptandra amara</t>
  </si>
  <si>
    <t>Cucumis zeyheri</t>
  </si>
  <si>
    <t>Cullen patens</t>
  </si>
  <si>
    <t>Cyclospermum leptophyllum</t>
  </si>
  <si>
    <t>Cymbidium canaliculatum</t>
  </si>
  <si>
    <t>Cymbonotus lawsonianus</t>
  </si>
  <si>
    <t>Cymbopogon obtectus</t>
  </si>
  <si>
    <t>Cynoglossum australe</t>
  </si>
  <si>
    <t>Cynoglossum sp.</t>
  </si>
  <si>
    <t>Cynoglossum suaveolens</t>
  </si>
  <si>
    <t>Cyperus alterniflorus</t>
  </si>
  <si>
    <t>Cyperus bifax</t>
  </si>
  <si>
    <t>Cyperus concinnus</t>
  </si>
  <si>
    <t>Cyperus fulvus</t>
  </si>
  <si>
    <t>Cyperus gracilis</t>
  </si>
  <si>
    <t>Cyperus gymnocaulos</t>
  </si>
  <si>
    <t>Cyperus lhotskyanus</t>
  </si>
  <si>
    <t>Cyperus lucidus</t>
  </si>
  <si>
    <t>Cyperus sp.</t>
  </si>
  <si>
    <t>Cyperus sphaeroideus</t>
  </si>
  <si>
    <t>Cyperus vaginatus</t>
  </si>
  <si>
    <t>Cyperus victoriensis</t>
  </si>
  <si>
    <t>Dampiera sp.</t>
  </si>
  <si>
    <t>Daviesia genistifolia</t>
  </si>
  <si>
    <t>Daviesia leptophylla</t>
  </si>
  <si>
    <t>Daviesia mimosoides</t>
  </si>
  <si>
    <t>Daviesia sp.</t>
  </si>
  <si>
    <t>Daviesia ulicifolia</t>
  </si>
  <si>
    <t>Dendrophthoe glabrescens</t>
  </si>
  <si>
    <t>Desmazeria rigida</t>
  </si>
  <si>
    <t>Desmodium brachypodum</t>
  </si>
  <si>
    <t>Desmodium campylocaulon</t>
  </si>
  <si>
    <t>Desmodium gunnii</t>
  </si>
  <si>
    <t>Desmodium rhytidophyllum</t>
  </si>
  <si>
    <t>Desmodium sp.</t>
  </si>
  <si>
    <t>Deyeuxia gunniana</t>
  </si>
  <si>
    <t>Deyeuxia sp.</t>
  </si>
  <si>
    <t>Dianella caerulea</t>
  </si>
  <si>
    <t>Dianella sp.</t>
  </si>
  <si>
    <t>Dichanthium setosum</t>
  </si>
  <si>
    <t>Dichelachne crinita</t>
  </si>
  <si>
    <t>Dichelachne inaequiglumis</t>
  </si>
  <si>
    <t>Dichelachne rara</t>
  </si>
  <si>
    <t>Dichelachne sieberiana</t>
  </si>
  <si>
    <t>Dichondra sp. A</t>
  </si>
  <si>
    <t>Digitaria breviglumis</t>
  </si>
  <si>
    <t>Digitaria brownii</t>
  </si>
  <si>
    <t>Digitaria diffusa</t>
  </si>
  <si>
    <t>Digitaria parviflora</t>
  </si>
  <si>
    <t>Digitaria porrecta</t>
  </si>
  <si>
    <t>Digitaria ramularis</t>
  </si>
  <si>
    <t>Digitaria sanguinalis</t>
  </si>
  <si>
    <t>Digitaria sp. (exotic species)</t>
  </si>
  <si>
    <t>Digitaria sp. (native species)</t>
  </si>
  <si>
    <t>Dillwynia phylicoides</t>
  </si>
  <si>
    <t>Dillwynia retorta</t>
  </si>
  <si>
    <t>Dillwynia sericea</t>
  </si>
  <si>
    <t>Dillwynia sieberi</t>
  </si>
  <si>
    <t>Dillwynia sp.</t>
  </si>
  <si>
    <t>Diplachne fusca</t>
  </si>
  <si>
    <t>Dipodium atropurpureum</t>
  </si>
  <si>
    <t>Dipodium hamiltonianum</t>
  </si>
  <si>
    <t>Dipodium punctatum</t>
  </si>
  <si>
    <t>Diuris abbreviata</t>
  </si>
  <si>
    <t>Diuris goonooensis</t>
  </si>
  <si>
    <t>Diuris sulphurea</t>
  </si>
  <si>
    <t>Diuris tricolor</t>
  </si>
  <si>
    <t>Dodonaea boroniifolia</t>
  </si>
  <si>
    <t>Dodonaea heteromorpha</t>
  </si>
  <si>
    <t>Dodonaea sinuolata</t>
  </si>
  <si>
    <t>Dodonaea sp.</t>
  </si>
  <si>
    <t>Doodia aspera</t>
  </si>
  <si>
    <t>Drosera auriculata</t>
  </si>
  <si>
    <t>Drosera burmanni</t>
  </si>
  <si>
    <t>Echinochloa colona</t>
  </si>
  <si>
    <t>Echinochloa crus-galli</t>
  </si>
  <si>
    <t>Echinochloa esculenta</t>
  </si>
  <si>
    <t>Echinopogon caespitosus</t>
  </si>
  <si>
    <t>Echinopogon cheelii</t>
  </si>
  <si>
    <t>Echinopogon intermedius</t>
  </si>
  <si>
    <t>Echinopogon mckiei</t>
  </si>
  <si>
    <t>Ehretia membranifolia</t>
  </si>
  <si>
    <t>Einadia polygonoides</t>
  </si>
  <si>
    <t>Einadia sp.</t>
  </si>
  <si>
    <t>Einadia trigonos</t>
  </si>
  <si>
    <t xml:space="preserve">Elymus plurinervis </t>
  </si>
  <si>
    <t xml:space="preserve">Elymus rectisetus </t>
  </si>
  <si>
    <t>Enneapogon gracilis</t>
  </si>
  <si>
    <t>Enneapogon lindleyanus</t>
  </si>
  <si>
    <t>Enneapogon nigricans</t>
  </si>
  <si>
    <t>Enneapogon sp.</t>
  </si>
  <si>
    <t>Enneapogon truncatus</t>
  </si>
  <si>
    <t>Entolasia stricta</t>
  </si>
  <si>
    <t>Epilobium billardierianum</t>
  </si>
  <si>
    <t>Epilobium hirtigerum</t>
  </si>
  <si>
    <t>Epilobium sp.</t>
  </si>
  <si>
    <t>Eragrostis alveiformis</t>
  </si>
  <si>
    <t>Eragrostis benthamii</t>
  </si>
  <si>
    <t>Eragrostis falcata</t>
  </si>
  <si>
    <t>Eragrostis leptocarpa</t>
  </si>
  <si>
    <t>Eragrostis leptostachya</t>
  </si>
  <si>
    <t>Eragrostis megalosperma</t>
  </si>
  <si>
    <t>Eragrostis molybdea</t>
  </si>
  <si>
    <t>Eragrostis setifolia</t>
  </si>
  <si>
    <t>Eragrostis trachycarpa</t>
  </si>
  <si>
    <t>Eremophila bignoniiflora</t>
  </si>
  <si>
    <t>Eremophila glabra</t>
  </si>
  <si>
    <t>Eremophila maculata</t>
  </si>
  <si>
    <t>Eremophila mitchellii</t>
  </si>
  <si>
    <t>Eremophila sp.</t>
  </si>
  <si>
    <t>Eriochilus cucullatus</t>
  </si>
  <si>
    <t>Eriochloa procera</t>
  </si>
  <si>
    <t>Eriochloa sp.</t>
  </si>
  <si>
    <t>Eucalyptus albens</t>
  </si>
  <si>
    <t>Eucalyptus blakelyi</t>
  </si>
  <si>
    <t>Eucalyptus bridgesiana</t>
  </si>
  <si>
    <t>Eucalyptus caleyi</t>
  </si>
  <si>
    <t>Eucalyptus caliginosa</t>
  </si>
  <si>
    <t>Eucalyptus crebra</t>
  </si>
  <si>
    <t>Eucalyptus dalrympleana</t>
  </si>
  <si>
    <t>Eucalyptus dealbata</t>
  </si>
  <si>
    <t>Eucalyptus dwyeri</t>
  </si>
  <si>
    <t>Eucalyptus laevopinea</t>
  </si>
  <si>
    <t>Eucalyptus macrorhyncha</t>
  </si>
  <si>
    <t>Eucalyptus melanophloia</t>
  </si>
  <si>
    <t>Eucalyptus melliodora</t>
  </si>
  <si>
    <t>Eucalyptus moluccana</t>
  </si>
  <si>
    <t>Eucalyptus nortonii</t>
  </si>
  <si>
    <t>Eucalyptus pauciflora</t>
  </si>
  <si>
    <t>Eucalyptus pilligaensis</t>
  </si>
  <si>
    <t>Eucalyptus praecox</t>
  </si>
  <si>
    <t>Eucalyptus prava</t>
  </si>
  <si>
    <t>Eucalyptus rossii</t>
  </si>
  <si>
    <t>Eucalyptus sideroxylon</t>
  </si>
  <si>
    <t>Eucalyptus sp.</t>
  </si>
  <si>
    <t>Eucalyptus stellulata</t>
  </si>
  <si>
    <t>Eucalyptus viminalis</t>
  </si>
  <si>
    <t>Euchiton japonicus</t>
  </si>
  <si>
    <t>Eustrephus latifolius</t>
  </si>
  <si>
    <t>Evolvulus alsinoides</t>
  </si>
  <si>
    <t>Exocarpos cupressiformis</t>
  </si>
  <si>
    <t>Fallopia convolvulus</t>
  </si>
  <si>
    <t>Ficus rubiginosa</t>
  </si>
  <si>
    <t>Fimbristylis dichotoma</t>
  </si>
  <si>
    <t>Flaveria australasica</t>
  </si>
  <si>
    <t>Fumaria parviflora</t>
  </si>
  <si>
    <t>Gahnia aspera</t>
  </si>
  <si>
    <t>Gahnia sieberiana</t>
  </si>
  <si>
    <t>Galium binifolium</t>
  </si>
  <si>
    <t>Galium ciliare</t>
  </si>
  <si>
    <t>Galium gaudichaudii</t>
  </si>
  <si>
    <t>Galium leptogonium</t>
  </si>
  <si>
    <t>Galium migrans</t>
  </si>
  <si>
    <t>Galium propinquum</t>
  </si>
  <si>
    <t>Galium sp.</t>
  </si>
  <si>
    <t>Gamochaeta coarctata</t>
  </si>
  <si>
    <t>Gamochaeta purpurea</t>
  </si>
  <si>
    <t>Genoplesium sp.</t>
  </si>
  <si>
    <t>Geranium homeanum</t>
  </si>
  <si>
    <t>Geranium molle</t>
  </si>
  <si>
    <t>Geranium neglectum</t>
  </si>
  <si>
    <t>Geranium potentilloides</t>
  </si>
  <si>
    <t>Geranium retrorsum</t>
  </si>
  <si>
    <t>Geranium solanderi</t>
  </si>
  <si>
    <t>Glandularia aristigera</t>
  </si>
  <si>
    <t>Glossocardia bidens</t>
  </si>
  <si>
    <t>Glycine latifolia</t>
  </si>
  <si>
    <t>Glycine microphylla</t>
  </si>
  <si>
    <t>Glycine pacifica</t>
  </si>
  <si>
    <t>Glycine sp.</t>
  </si>
  <si>
    <t>Glycine stenophita</t>
  </si>
  <si>
    <t>Glycine tomentella</t>
  </si>
  <si>
    <t>Gnaphalium polycaulon</t>
  </si>
  <si>
    <t>Gnaphalium sp.</t>
  </si>
  <si>
    <t>Gomphocarpus fruticosus</t>
  </si>
  <si>
    <t>Gompholobium huegelii</t>
  </si>
  <si>
    <t>Gomphrena celosioides</t>
  </si>
  <si>
    <t>Gonocarpus elatus</t>
  </si>
  <si>
    <t>Gonocarpus micranthus</t>
  </si>
  <si>
    <t>Gonocarpus tetragynus</t>
  </si>
  <si>
    <t>Gonocarpus teucrioides</t>
  </si>
  <si>
    <t>Goodenia bellidifolia</t>
  </si>
  <si>
    <t>Goodenia cycloptera</t>
  </si>
  <si>
    <t>Goodenia glabra</t>
  </si>
  <si>
    <t>Goodenia hederacea</t>
  </si>
  <si>
    <t>Goodenia heteromera</t>
  </si>
  <si>
    <t>Goodenia sp.</t>
  </si>
  <si>
    <t>Gratiola peruviana</t>
  </si>
  <si>
    <t>Grevillea floribunda</t>
  </si>
  <si>
    <t>Grevillea ramosissima</t>
  </si>
  <si>
    <t>Grevillea triternata</t>
  </si>
  <si>
    <t>Gypsophila tubulosa</t>
  </si>
  <si>
    <t>Haemodorum planifolium</t>
  </si>
  <si>
    <t>Hakea leucoptera</t>
  </si>
  <si>
    <t>Halgania cyanea</t>
  </si>
  <si>
    <t>Haloragis aspera</t>
  </si>
  <si>
    <t>Haloragis heterophylla</t>
  </si>
  <si>
    <t>Haloragis sp.</t>
  </si>
  <si>
    <t>Hardenbergia violacea</t>
  </si>
  <si>
    <t>Harmsiodoxa blennodioides</t>
  </si>
  <si>
    <t>Harmsiodoxa brevipes</t>
  </si>
  <si>
    <t>Harmsiodoxa puberula</t>
  </si>
  <si>
    <t>Heliotropium amplexicaule</t>
  </si>
  <si>
    <t>Heteropogon contortus</t>
  </si>
  <si>
    <t>Hibbertia acicularis</t>
  </si>
  <si>
    <t>Hibbertia cistoidea</t>
  </si>
  <si>
    <t>Hibbertia linearis</t>
  </si>
  <si>
    <t>Hibbertia obtusifolia</t>
  </si>
  <si>
    <t>Hibbertia riparia</t>
  </si>
  <si>
    <t>Hibbertia serpyllifolia</t>
  </si>
  <si>
    <t>Hibbertia sp.</t>
  </si>
  <si>
    <t>Hibiscus brachysiphonius</t>
  </si>
  <si>
    <t>Hibiscus krichauffianus</t>
  </si>
  <si>
    <t>Hibiscus trionum</t>
  </si>
  <si>
    <t>Homopholis belsonii</t>
  </si>
  <si>
    <t>Homoranthus cernuus</t>
  </si>
  <si>
    <t>Hordeum glaucum</t>
  </si>
  <si>
    <t>Hovea graniticola</t>
  </si>
  <si>
    <t>Hovea heterophylla</t>
  </si>
  <si>
    <t>Hovea lanceolata</t>
  </si>
  <si>
    <t>Hovea linearis</t>
  </si>
  <si>
    <t>Hovea purpurea</t>
  </si>
  <si>
    <t>Hybanthus monopetalus</t>
  </si>
  <si>
    <t>Hydrocotyle peduncularis</t>
  </si>
  <si>
    <t>Hydrocotyle sp.</t>
  </si>
  <si>
    <t>Hydrocotyle tripartita</t>
  </si>
  <si>
    <t>Hymenanthera dentata</t>
  </si>
  <si>
    <t>Hyparrhenia hirta</t>
  </si>
  <si>
    <t>Hypericum gramineum</t>
  </si>
  <si>
    <t>Hypericum japonicum</t>
  </si>
  <si>
    <t>Hypoxis hygrometrica</t>
  </si>
  <si>
    <t>Imperata cylindrica</t>
  </si>
  <si>
    <t>Indigofera adesmiifolia</t>
  </si>
  <si>
    <t>Indigofera australis</t>
  </si>
  <si>
    <t>Indigofera brevidens</t>
  </si>
  <si>
    <t>Indigofera coronillifolia</t>
  </si>
  <si>
    <t>Ipomoea lonchophylla</t>
  </si>
  <si>
    <t>Iseilema membranaceum</t>
  </si>
  <si>
    <t>Iseilema vaginiflorum</t>
  </si>
  <si>
    <t>Isolepis cernua</t>
  </si>
  <si>
    <t>Isolepis hookeriana</t>
  </si>
  <si>
    <t>Isotoma fluviatilis</t>
  </si>
  <si>
    <t>Jasminum suavissimum</t>
  </si>
  <si>
    <t>Juncus australis</t>
  </si>
  <si>
    <t>Juncus bufonius</t>
  </si>
  <si>
    <t>Juncus holoschoenus</t>
  </si>
  <si>
    <t>Juncus homalocaulis</t>
  </si>
  <si>
    <t>Juncus pauciflorus</t>
  </si>
  <si>
    <t>Juncus prismatocarpus</t>
  </si>
  <si>
    <t>Juncus remotiflorus</t>
  </si>
  <si>
    <t>Juncus subglaucus</t>
  </si>
  <si>
    <t>Juncus vaginatus</t>
  </si>
  <si>
    <t>Kunzea parvifolia</t>
  </si>
  <si>
    <t>Lachnagrostis aemula</t>
  </si>
  <si>
    <t>Lachnagrostis sp.</t>
  </si>
  <si>
    <t>Lactuca saligna</t>
  </si>
  <si>
    <t>Lagenophora sp.</t>
  </si>
  <si>
    <t>Lagenophora stipitata</t>
  </si>
  <si>
    <t>Laxmannia gracilis</t>
  </si>
  <si>
    <t>Leiocarpa brevicompta</t>
  </si>
  <si>
    <t>Leiocarpa sp.</t>
  </si>
  <si>
    <t>Lepidium bonariense</t>
  </si>
  <si>
    <t>Lepidium fasciculatum</t>
  </si>
  <si>
    <t>Lepidium hyssopifolium</t>
  </si>
  <si>
    <t>Lepidium sagittulatum</t>
  </si>
  <si>
    <t>Lepidium sp.</t>
  </si>
  <si>
    <t>Lepidosperma gunnii</t>
  </si>
  <si>
    <t>Lepidosperma laterale</t>
  </si>
  <si>
    <t>Lepidosperma viscidum</t>
  </si>
  <si>
    <t>Leptochloa asthenes</t>
  </si>
  <si>
    <t>Leptochloa digitata</t>
  </si>
  <si>
    <t>Leptochloa divaricatissima</t>
  </si>
  <si>
    <t>Leptorhynchos panaetioides</t>
  </si>
  <si>
    <t>Leptorhynchos sp.</t>
  </si>
  <si>
    <t>Leptospermum arachnoides</t>
  </si>
  <si>
    <t>Leptospermum brevipes</t>
  </si>
  <si>
    <t>Leptospermum polygalifolium</t>
  </si>
  <si>
    <t>Leptospermum sp.</t>
  </si>
  <si>
    <t>Lespedeza juncea</t>
  </si>
  <si>
    <t>Leucochrysum albicans</t>
  </si>
  <si>
    <t>Leucopogon biflorus</t>
  </si>
  <si>
    <t>Leucopogon muticus</t>
  </si>
  <si>
    <t>Leucopogon sp.</t>
  </si>
  <si>
    <t>Leucopogon virgatus</t>
  </si>
  <si>
    <t>Linum sp.</t>
  </si>
  <si>
    <t>Linum usitatissimum</t>
  </si>
  <si>
    <t>Lissanthe strigosa</t>
  </si>
  <si>
    <t>Lomandra bracteata</t>
  </si>
  <si>
    <t>Lomandra confertifolia</t>
  </si>
  <si>
    <t>Lomandra cylindrica</t>
  </si>
  <si>
    <t>Lomandra longifolia</t>
  </si>
  <si>
    <t>Lomandra multiflora</t>
  </si>
  <si>
    <t>Lomandra sp.</t>
  </si>
  <si>
    <t>Lotus cruentus</t>
  </si>
  <si>
    <t>Luzula densiflora</t>
  </si>
  <si>
    <t>Luzula flaccida</t>
  </si>
  <si>
    <t>Luzula meridionalis</t>
  </si>
  <si>
    <t>Luzula sp.</t>
  </si>
  <si>
    <t>Macrozamia heteromera</t>
  </si>
  <si>
    <t>Macrozamia secunda</t>
  </si>
  <si>
    <t>Maireana pentatropis</t>
  </si>
  <si>
    <t>Malva verticillata</t>
  </si>
  <si>
    <t>Malvastrum americanum</t>
  </si>
  <si>
    <t>Malvastrum coromandelianum</t>
  </si>
  <si>
    <t>Marsdenia viridiflora</t>
  </si>
  <si>
    <t>Maytenus bilocularis</t>
  </si>
  <si>
    <t>Maytenus cunninghamii</t>
  </si>
  <si>
    <t>Maytenus silvestris</t>
  </si>
  <si>
    <t>Medicago arabica</t>
  </si>
  <si>
    <t>Medicago laciniata</t>
  </si>
  <si>
    <t>Medicago minima</t>
  </si>
  <si>
    <t>Medicago orbicularis</t>
  </si>
  <si>
    <t>Medicago praecox</t>
  </si>
  <si>
    <t>Medicago sativa</t>
  </si>
  <si>
    <t>Medicago scutellata</t>
  </si>
  <si>
    <t>Medicago sp.</t>
  </si>
  <si>
    <t>Melaleuca bracteata</t>
  </si>
  <si>
    <t>Melaleuca erubescens</t>
  </si>
  <si>
    <t>Melhania oblongifolia</t>
  </si>
  <si>
    <t>Melia azedarach</t>
  </si>
  <si>
    <t>Melichrus erubescens</t>
  </si>
  <si>
    <t>Melichrus urceolatus</t>
  </si>
  <si>
    <t>Melilotus indicus</t>
  </si>
  <si>
    <t>Melinis repens</t>
  </si>
  <si>
    <t>Mentha diemenica</t>
  </si>
  <si>
    <t>Mentha satureioides</t>
  </si>
  <si>
    <t>Micromyrtus sessilis</t>
  </si>
  <si>
    <t>Microtis parviflora</t>
  </si>
  <si>
    <t>Microtis sp.</t>
  </si>
  <si>
    <t>Mimulus gracilis</t>
  </si>
  <si>
    <t>Moenchia erecta</t>
  </si>
  <si>
    <t>Monotoca scoparia</t>
  </si>
  <si>
    <t>Muehlenbeckia rhyticarya</t>
  </si>
  <si>
    <t>Murdannia graminea</t>
  </si>
  <si>
    <t>Myoporum montanum</t>
  </si>
  <si>
    <t>Myoporum platycarpum</t>
  </si>
  <si>
    <t>Myoporum sp.</t>
  </si>
  <si>
    <t>Myriophyllum pedunculatum</t>
  </si>
  <si>
    <t>Neptunia gracilis</t>
  </si>
  <si>
    <t>Nicotiana suaveolens</t>
  </si>
  <si>
    <t>Nicotinia megalosiphon</t>
  </si>
  <si>
    <t>Notelaea microcarpa</t>
  </si>
  <si>
    <t>Notelaea sp.</t>
  </si>
  <si>
    <t>Oenothera affinis</t>
  </si>
  <si>
    <t>Oenothera mollissima</t>
  </si>
  <si>
    <t>Olearia alpicola</t>
  </si>
  <si>
    <t>Olearia elliptica</t>
  </si>
  <si>
    <t>Olearia sp. aff. elliptica</t>
  </si>
  <si>
    <t>Olearia viscidula</t>
  </si>
  <si>
    <t>Oncinocalyx betchei</t>
  </si>
  <si>
    <t>Opercularia aspera</t>
  </si>
  <si>
    <t>Opercularia diphylla</t>
  </si>
  <si>
    <t>Opercularia hispida</t>
  </si>
  <si>
    <t>Opercularia sp.</t>
  </si>
  <si>
    <t>Oplismenus aemulus</t>
  </si>
  <si>
    <t>Oplismenus imbecillis</t>
  </si>
  <si>
    <t>Opuntia aurantiaca</t>
  </si>
  <si>
    <t>Opuntia stricta</t>
  </si>
  <si>
    <t>Oreomyrrhis eriopoda</t>
  </si>
  <si>
    <t>Oxalis chnoodes</t>
  </si>
  <si>
    <t>Oxalis exilis</t>
  </si>
  <si>
    <t>Oxalis radicosa</t>
  </si>
  <si>
    <t>Oxalis sp. (exotic species)</t>
  </si>
  <si>
    <t>Oxalis sp. (native species)</t>
  </si>
  <si>
    <t>Oxalis thompsoniae</t>
  </si>
  <si>
    <t>Ozothamnus diosmifolius</t>
  </si>
  <si>
    <t>Ozothamnus obcordatus</t>
  </si>
  <si>
    <t>Pandorea pandorana</t>
  </si>
  <si>
    <t>Panicum coloratum</t>
  </si>
  <si>
    <t>Parietaria debilis</t>
  </si>
  <si>
    <t>Parsonsia eucalyptophylla</t>
  </si>
  <si>
    <t>Paspalidium albovillosum</t>
  </si>
  <si>
    <t>Paspalidium aversum</t>
  </si>
  <si>
    <t>Paspalidium caespitosum</t>
  </si>
  <si>
    <t>Paspalidium globoideum</t>
  </si>
  <si>
    <t>Paspalidium gracile</t>
  </si>
  <si>
    <t>Paspalidium sp.</t>
  </si>
  <si>
    <t>Patersonia sericea</t>
  </si>
  <si>
    <t>Pelargonium inodorum</t>
  </si>
  <si>
    <t>Pellaea falcata</t>
  </si>
  <si>
    <t>Pellaea nana</t>
  </si>
  <si>
    <t>Pennisetum alopecuroides</t>
  </si>
  <si>
    <t>Perotis rara</t>
  </si>
  <si>
    <t>Persicaria decipiens</t>
  </si>
  <si>
    <t>Persicaria hydropiper</t>
  </si>
  <si>
    <t>Persicaria sp.</t>
  </si>
  <si>
    <t>Persoonia cornifolia</t>
  </si>
  <si>
    <t>Persoonia sericea</t>
  </si>
  <si>
    <t>Petrophile canescens</t>
  </si>
  <si>
    <t>Petrorhagia velutina</t>
  </si>
  <si>
    <t>Philotheca difformis</t>
  </si>
  <si>
    <t>Phyla canescens</t>
  </si>
  <si>
    <t>Phyla nodiflora</t>
  </si>
  <si>
    <t>Phyllanthus hirtellus</t>
  </si>
  <si>
    <t>Phyllanthus lacerosus</t>
  </si>
  <si>
    <t>Phyllanthus maderaspatensis</t>
  </si>
  <si>
    <t>Phyllanthus sp.</t>
  </si>
  <si>
    <t>Phyllanthus subcrenulatus</t>
  </si>
  <si>
    <t>Phyllanthus virgatus</t>
  </si>
  <si>
    <t>Physalis angulata</t>
  </si>
  <si>
    <t>Physalis ixocarpa</t>
  </si>
  <si>
    <t>Phytolacca octandra</t>
  </si>
  <si>
    <t>Pimelea curviflora</t>
  </si>
  <si>
    <t>Pimelea glauca</t>
  </si>
  <si>
    <t>Pimelea micrantha</t>
  </si>
  <si>
    <t>Pimelea microcephala</t>
  </si>
  <si>
    <t>Pimelea neo-anglica</t>
  </si>
  <si>
    <t>Pimelea simplex</t>
  </si>
  <si>
    <t>Pimelea sp.</t>
  </si>
  <si>
    <t>Pimelea strigosa</t>
  </si>
  <si>
    <t>Pimelea trichostachya</t>
  </si>
  <si>
    <t>Pittosporum undulatum</t>
  </si>
  <si>
    <t>Plantago sp.</t>
  </si>
  <si>
    <t>Plantago varia</t>
  </si>
  <si>
    <t>Plectranthus graveolens</t>
  </si>
  <si>
    <t>Plectranthus parviflorus</t>
  </si>
  <si>
    <t>Pleurosorus rutifolius</t>
  </si>
  <si>
    <t>Pluchea dentex</t>
  </si>
  <si>
    <t>Podolepis hieracioides</t>
  </si>
  <si>
    <t>Podolepis neglecta</t>
  </si>
  <si>
    <t>Podolepis sp.</t>
  </si>
  <si>
    <t>Polycarpaea corymbosa</t>
  </si>
  <si>
    <t>Polygala japonica</t>
  </si>
  <si>
    <t>Polymeria longifolia</t>
  </si>
  <si>
    <t>Polymeria pusilla</t>
  </si>
  <si>
    <t>Polypogon monspeliensis</t>
  </si>
  <si>
    <t>Pomaderris sp.</t>
  </si>
  <si>
    <t>Pomax umbellata</t>
  </si>
  <si>
    <t>Poranthera microphylla</t>
  </si>
  <si>
    <t>Portulaca filifolia</t>
  </si>
  <si>
    <t>Pratia concolor</t>
  </si>
  <si>
    <t>Pratia purpurascens</t>
  </si>
  <si>
    <t>Pratia sp.</t>
  </si>
  <si>
    <t>Prunus sp.</t>
  </si>
  <si>
    <t>Pseudognaphalium luteoalbum</t>
  </si>
  <si>
    <t>Psydrax odorata</t>
  </si>
  <si>
    <t>Psydrax oleifolia</t>
  </si>
  <si>
    <t>Psydrax sp.</t>
  </si>
  <si>
    <t>Pteridium esculentum</t>
  </si>
  <si>
    <t>Pterostylis bicolor</t>
  </si>
  <si>
    <t>Pterostylis cycnocephala</t>
  </si>
  <si>
    <t>Pterostylis mutica</t>
  </si>
  <si>
    <t>Pterostylis rufa</t>
  </si>
  <si>
    <t>Pultenaea foliolosa</t>
  </si>
  <si>
    <t>Pultenaea linophylla</t>
  </si>
  <si>
    <t>Pultenaea microphylla</t>
  </si>
  <si>
    <t>Pultenaea setulosa</t>
  </si>
  <si>
    <t>Pultenaea sp.</t>
  </si>
  <si>
    <t>Pultenaea spinosa</t>
  </si>
  <si>
    <t>Pycnosorus sp.</t>
  </si>
  <si>
    <t>Ranunculus inundatus</t>
  </si>
  <si>
    <t>Ranunculus lappaceus</t>
  </si>
  <si>
    <t>Ranunculus undosus</t>
  </si>
  <si>
    <t>Rhodanthe anthemoides</t>
  </si>
  <si>
    <t>Rhyncharrhena linearis</t>
  </si>
  <si>
    <t>Rhynchosia australis</t>
  </si>
  <si>
    <t>Rhynchosia minima</t>
  </si>
  <si>
    <t>Rostellularia adscendens</t>
  </si>
  <si>
    <t>Rostraria cristata</t>
  </si>
  <si>
    <t>Rostraria pumila</t>
  </si>
  <si>
    <t>Rubus anglocandicans</t>
  </si>
  <si>
    <t>Rubus parvifolius</t>
  </si>
  <si>
    <t>Rytidosperma auriculatum</t>
  </si>
  <si>
    <t>Rytidosperma bipartitum</t>
  </si>
  <si>
    <t>Rytidosperma pallidum</t>
  </si>
  <si>
    <t>Rytidosperma racemosum</t>
  </si>
  <si>
    <t>Rytidosperma tenuior</t>
  </si>
  <si>
    <t>Sagina apetala</t>
  </si>
  <si>
    <t>Salsola australis</t>
  </si>
  <si>
    <t>Salvia reflexa</t>
  </si>
  <si>
    <t>Sannantha cunninghamii</t>
  </si>
  <si>
    <t>Santalum lanceolatum</t>
  </si>
  <si>
    <t>Schenkia australis</t>
  </si>
  <si>
    <t>Schkuhria pinnata</t>
  </si>
  <si>
    <t>Schoenoplectus sp.</t>
  </si>
  <si>
    <t>Scirpus sp.</t>
  </si>
  <si>
    <t>Scleranthus biflorus</t>
  </si>
  <si>
    <t>Scleria mackaviensis</t>
  </si>
  <si>
    <t>Sclerolaena anisacanthoides</t>
  </si>
  <si>
    <t>Sclerolaena bicornis</t>
  </si>
  <si>
    <t>Sclerolaena calcarata</t>
  </si>
  <si>
    <t>Sclerolaena convexula</t>
  </si>
  <si>
    <t>Sclerolaena sp.</t>
  </si>
  <si>
    <t>Sclerolaena tetracuspis</t>
  </si>
  <si>
    <t>Scutellaria humilis</t>
  </si>
  <si>
    <t>Senecio bathurstianus</t>
  </si>
  <si>
    <t>Senecio bipinnatisectus</t>
  </si>
  <si>
    <t>Senecio diaschides</t>
  </si>
  <si>
    <t>Senecio lautus</t>
  </si>
  <si>
    <t>Senecio linearifolius</t>
  </si>
  <si>
    <t>Senecio madagascariensis</t>
  </si>
  <si>
    <t>Senecio pinnatifolius</t>
  </si>
  <si>
    <t>Senecio prenanthoides</t>
  </si>
  <si>
    <t>Senecio sp.</t>
  </si>
  <si>
    <t>Senna barclayana</t>
  </si>
  <si>
    <t>Senna coronilloides</t>
  </si>
  <si>
    <t>Senna occidentalis</t>
  </si>
  <si>
    <t>Setaria gracilis</t>
  </si>
  <si>
    <t>Setaria parviflora</t>
  </si>
  <si>
    <t>Setaria pumila</t>
  </si>
  <si>
    <t>Setaria sp.</t>
  </si>
  <si>
    <t>Setaria viridis</t>
  </si>
  <si>
    <t>Sida filiformis</t>
  </si>
  <si>
    <t>Sida hackettiana</t>
  </si>
  <si>
    <t>Sida rhombifolia</t>
  </si>
  <si>
    <t>Sida spinosa</t>
  </si>
  <si>
    <t>Sigesbeckia australiensis</t>
  </si>
  <si>
    <t>Sigesbeckia orientalis</t>
  </si>
  <si>
    <t>Silene nocturna</t>
  </si>
  <si>
    <t>Silybum marianum</t>
  </si>
  <si>
    <t>Solanum amblymerum</t>
  </si>
  <si>
    <t>Solanum americanum</t>
  </si>
  <si>
    <t>Solanum aviculare</t>
  </si>
  <si>
    <t>Solanum brownii</t>
  </si>
  <si>
    <t>Solanum campanulatum</t>
  </si>
  <si>
    <t>Solanum cinereum</t>
  </si>
  <si>
    <t>Solanum elegans</t>
  </si>
  <si>
    <t>Solanum ellipticum</t>
  </si>
  <si>
    <t>Solanum opacum</t>
  </si>
  <si>
    <t>Solanum papaverifolium</t>
  </si>
  <si>
    <t>Solanum parvifolium</t>
  </si>
  <si>
    <t>Solanum pseudocapsicum</t>
  </si>
  <si>
    <t>Solanum radicans</t>
  </si>
  <si>
    <t>Solanum sp.</t>
  </si>
  <si>
    <t>Solenogyne dominii</t>
  </si>
  <si>
    <t>Soliva sessilis</t>
  </si>
  <si>
    <t>Soliva stolonifera</t>
  </si>
  <si>
    <t>Sorghum bicolor</t>
  </si>
  <si>
    <t xml:space="preserve">Sorghum halepense </t>
  </si>
  <si>
    <t>Spartothamnella juncea</t>
  </si>
  <si>
    <t>Sporobolus actinocladus</t>
  </si>
  <si>
    <t>Sporobolus africanus</t>
  </si>
  <si>
    <t>Sporobolus creber</t>
  </si>
  <si>
    <t>Sporobolus elongatus</t>
  </si>
  <si>
    <t>Sporobolus mitchellii</t>
  </si>
  <si>
    <t>Sporobolus sp.</t>
  </si>
  <si>
    <t>Stachys arvensis</t>
  </si>
  <si>
    <t>Stackhousia muricata</t>
  </si>
  <si>
    <t>Stackhousia viminea</t>
  </si>
  <si>
    <t>Stellaria filiformis</t>
  </si>
  <si>
    <t>Stellaria flaccida</t>
  </si>
  <si>
    <t>Stellaria multiflora</t>
  </si>
  <si>
    <t>Stellaria pungens</t>
  </si>
  <si>
    <t>Stellaria sp.</t>
  </si>
  <si>
    <t>Stemodia florulenta</t>
  </si>
  <si>
    <t>Stemodia glabella</t>
  </si>
  <si>
    <t>Stuartina hamata</t>
  </si>
  <si>
    <t>Stuartina sp.</t>
  </si>
  <si>
    <t>Stylidium eglandulosum</t>
  </si>
  <si>
    <t>Stylidium graminifolium</t>
  </si>
  <si>
    <t>Stylidium sp.</t>
  </si>
  <si>
    <t>Stypandra glauca</t>
  </si>
  <si>
    <t>Styphelia triflora</t>
  </si>
  <si>
    <t>Swainsona affinis</t>
  </si>
  <si>
    <t>Swainsona bracteata</t>
  </si>
  <si>
    <t>Swainsona cadellii</t>
  </si>
  <si>
    <t>Swainsona galegifolia</t>
  </si>
  <si>
    <t>Swainsona luteola</t>
  </si>
  <si>
    <t>Swainsona microphylla</t>
  </si>
  <si>
    <t>Swainsona monticola</t>
  </si>
  <si>
    <t>Swainsona phacoides</t>
  </si>
  <si>
    <t>Swainsona queenslandica</t>
  </si>
  <si>
    <t>Swainsona reticulata</t>
  </si>
  <si>
    <t>Tagetes minuta</t>
  </si>
  <si>
    <t>Templetonia stenophylla</t>
  </si>
  <si>
    <t>Tephrosia brachyodon</t>
  </si>
  <si>
    <t>Tetratheca thymifolia</t>
  </si>
  <si>
    <t>Teucrium argutum</t>
  </si>
  <si>
    <t>Teucrium sp. A sensu Conn (1992)</t>
  </si>
  <si>
    <t>Thellungia advena</t>
  </si>
  <si>
    <t>Thelymitra carnea</t>
  </si>
  <si>
    <t>Thelymitra pauciflora</t>
  </si>
  <si>
    <t>Thelymitra sp.</t>
  </si>
  <si>
    <t>Themeda avenacea (&lt; 5%)</t>
  </si>
  <si>
    <t>Themeda avenacea (5% or &gt;)</t>
  </si>
  <si>
    <t>Thesium australe</t>
  </si>
  <si>
    <t>Thyridolepis mitchelliana</t>
  </si>
  <si>
    <t>Trachymene incisa</t>
  </si>
  <si>
    <t>Trianthema triquetra</t>
  </si>
  <si>
    <t>Tribulus micrococcus</t>
  </si>
  <si>
    <t>Tribulus minutus</t>
  </si>
  <si>
    <t>Tribulus terrestris</t>
  </si>
  <si>
    <t>Urochloa notochthona</t>
  </si>
  <si>
    <t xml:space="preserve">Urochloa panicoides </t>
  </si>
  <si>
    <t xml:space="preserve">Urochloa piligera </t>
  </si>
  <si>
    <t>Urochloa praetervisa</t>
  </si>
  <si>
    <t xml:space="preserve">Urochloa subquadripara </t>
  </si>
  <si>
    <t>Urtica incisa</t>
  </si>
  <si>
    <t>Utricularia dichotoma</t>
  </si>
  <si>
    <t>Vachellia farnesiana</t>
  </si>
  <si>
    <t>Ventilago viminalis</t>
  </si>
  <si>
    <t>Verbena caracasana</t>
  </si>
  <si>
    <t>Verbena gaudichaudii</t>
  </si>
  <si>
    <t>Verbena quadrangularis</t>
  </si>
  <si>
    <t>Verbena rigida</t>
  </si>
  <si>
    <t>Vernonia cinerea</t>
  </si>
  <si>
    <t>Veronica arenaria</t>
  </si>
  <si>
    <t>Veronica calycina</t>
  </si>
  <si>
    <t>Veronica gracilis</t>
  </si>
  <si>
    <t>Veronica plebeia</t>
  </si>
  <si>
    <t>Veronica sp.</t>
  </si>
  <si>
    <t>Vicia faba</t>
  </si>
  <si>
    <t>Vicia monantha</t>
  </si>
  <si>
    <t>Vicia sp.</t>
  </si>
  <si>
    <t>Vicia tetrasperma</t>
  </si>
  <si>
    <t>Vicia villosa</t>
  </si>
  <si>
    <t>Vigna radiata</t>
  </si>
  <si>
    <t>Viola betonicifolia</t>
  </si>
  <si>
    <t>Viola caleyana</t>
  </si>
  <si>
    <t>Viola hederacea</t>
  </si>
  <si>
    <t>Vittadinia dissecta</t>
  </si>
  <si>
    <t>Vittadinia eremaea</t>
  </si>
  <si>
    <t>Vittadinia muelleri</t>
  </si>
  <si>
    <t>Wahlenbergia communis</t>
  </si>
  <si>
    <t>Wahlenbergia graniticola</t>
  </si>
  <si>
    <t>Wahlenbergia multicaulis</t>
  </si>
  <si>
    <t>Wahlenbergia planiflora</t>
  </si>
  <si>
    <t>Wahlenbergia queenslandica</t>
  </si>
  <si>
    <t>Wurmbea biglandulosa</t>
  </si>
  <si>
    <t>Wurmbea sp.</t>
  </si>
  <si>
    <t>Xanthium sp.</t>
  </si>
  <si>
    <t>Xanthium strumarium</t>
  </si>
  <si>
    <t>Xanthorrhoea acaulis</t>
  </si>
  <si>
    <t>Xanthorrhoea glauca</t>
  </si>
  <si>
    <t>Xanthorrhoea johnsonii</t>
  </si>
  <si>
    <t>Xanthorrhoea sp.</t>
  </si>
  <si>
    <t>Zea mays</t>
  </si>
  <si>
    <t>Zornia dyctiocarpa</t>
  </si>
  <si>
    <t>Zornia floribunda</t>
  </si>
  <si>
    <t>Zygophyllum iodocarpum</t>
  </si>
  <si>
    <t>abut cryp</t>
  </si>
  <si>
    <t>abut oxyc</t>
  </si>
  <si>
    <t>abut tubu</t>
  </si>
  <si>
    <t>acac bail</t>
  </si>
  <si>
    <t>acac brow</t>
  </si>
  <si>
    <t>acac buxi</t>
  </si>
  <si>
    <t>acac chee</t>
  </si>
  <si>
    <t>acac daws</t>
  </si>
  <si>
    <t>acac fact</t>
  </si>
  <si>
    <t>acac facf</t>
  </si>
  <si>
    <t>acac fici</t>
  </si>
  <si>
    <t>acac flex</t>
  </si>
  <si>
    <t>acac gunn</t>
  </si>
  <si>
    <t>acac homo</t>
  </si>
  <si>
    <t>acac impl</t>
  </si>
  <si>
    <t>acac leio</t>
  </si>
  <si>
    <t>acac leuc</t>
  </si>
  <si>
    <t>acac lint</t>
  </si>
  <si>
    <t>acac linf</t>
  </si>
  <si>
    <t>acac mela</t>
  </si>
  <si>
    <t>acac neri</t>
  </si>
  <si>
    <t>acac nova</t>
  </si>
  <si>
    <t>acac para</t>
  </si>
  <si>
    <t>acac penn</t>
  </si>
  <si>
    <t>acac spec</t>
  </si>
  <si>
    <t>acac sten</t>
  </si>
  <si>
    <t>acac unci</t>
  </si>
  <si>
    <t>acac vern</t>
  </si>
  <si>
    <t>acac visc</t>
  </si>
  <si>
    <t>acae agni</t>
  </si>
  <si>
    <t>acac echi</t>
  </si>
  <si>
    <t>acae nova</t>
  </si>
  <si>
    <t>acae ovin</t>
  </si>
  <si>
    <t>acro serr</t>
  </si>
  <si>
    <t>acti gibb</t>
  </si>
  <si>
    <t>acti heli</t>
  </si>
  <si>
    <t>adia aeth</t>
  </si>
  <si>
    <t>adia hisp</t>
  </si>
  <si>
    <t>alet olei</t>
  </si>
  <si>
    <t>alph exce</t>
  </si>
  <si>
    <t>alst cont</t>
  </si>
  <si>
    <t>alte nodi</t>
  </si>
  <si>
    <t>alte spa</t>
  </si>
  <si>
    <t>amar macr</t>
  </si>
  <si>
    <t>amar mitc</t>
  </si>
  <si>
    <t>amar retr</t>
  </si>
  <si>
    <t>amar viri</t>
  </si>
  <si>
    <t>ambr arte</t>
  </si>
  <si>
    <t>ammo alat</t>
  </si>
  <si>
    <t>amye miqu</t>
  </si>
  <si>
    <t>amye mira</t>
  </si>
  <si>
    <t>anch arve</t>
  </si>
  <si>
    <t>ango cost</t>
  </si>
  <si>
    <t>ango flor</t>
  </si>
  <si>
    <t>apop anom</t>
  </si>
  <si>
    <t>aren lept</t>
  </si>
  <si>
    <t>aren serp</t>
  </si>
  <si>
    <t>arge ochr</t>
  </si>
  <si>
    <t>aris beth</t>
  </si>
  <si>
    <t>aris caly</t>
  </si>
  <si>
    <t>aris capu</t>
  </si>
  <si>
    <t>aris lati</t>
  </si>
  <si>
    <t>aris lept</t>
  </si>
  <si>
    <t>aris plat</t>
  </si>
  <si>
    <t>aris psam</t>
  </si>
  <si>
    <t>aris vaga</t>
  </si>
  <si>
    <t>aris warb</t>
  </si>
  <si>
    <t>arth spa</t>
  </si>
  <si>
    <t>arth spb</t>
  </si>
  <si>
    <t>arun nepa</t>
  </si>
  <si>
    <t>aspa offi</t>
  </si>
  <si>
    <t>aspe cunn</t>
  </si>
  <si>
    <t>aspe scop</t>
  </si>
  <si>
    <t>aspl flab</t>
  </si>
  <si>
    <t>astr hamo</t>
  </si>
  <si>
    <t>astr humi</t>
  </si>
  <si>
    <t>atal hemi</t>
  </si>
  <si>
    <t>atri muel</t>
  </si>
  <si>
    <t>atri sube</t>
  </si>
  <si>
    <t>aust  bige</t>
  </si>
  <si>
    <t>aust ramo</t>
  </si>
  <si>
    <t>aust rudi</t>
  </si>
  <si>
    <t>aust tuck</t>
  </si>
  <si>
    <t>bank marg</t>
  </si>
  <si>
    <t>bert cunn</t>
  </si>
  <si>
    <t>bert gumm</t>
  </si>
  <si>
    <t>beye visc</t>
  </si>
  <si>
    <t>bide pilo</t>
  </si>
  <si>
    <t>bide suba</t>
  </si>
  <si>
    <t>bill scan</t>
  </si>
  <si>
    <t>blec nudu</t>
  </si>
  <si>
    <t>boer repl</t>
  </si>
  <si>
    <t>boss buxi</t>
  </si>
  <si>
    <t>boss neoa</t>
  </si>
  <si>
    <t>both bilo</t>
  </si>
  <si>
    <t>both blad</t>
  </si>
  <si>
    <t>both eria</t>
  </si>
  <si>
    <t>brac daph</t>
  </si>
  <si>
    <t>brac dist</t>
  </si>
  <si>
    <t>brac chry</t>
  </si>
  <si>
    <t>brac diss</t>
  </si>
  <si>
    <t>brac dive</t>
  </si>
  <si>
    <t>brac form</t>
  </si>
  <si>
    <t>brac mela</t>
  </si>
  <si>
    <t>brac micr</t>
  </si>
  <si>
    <t>brac mult</t>
  </si>
  <si>
    <t>brac nova</t>
  </si>
  <si>
    <t>brac proc</t>
  </si>
  <si>
    <t>brac spat</t>
  </si>
  <si>
    <t>brac tenu</t>
  </si>
  <si>
    <t>brac trac</t>
  </si>
  <si>
    <t>bras rapa</t>
  </si>
  <si>
    <t>brey oblo</t>
  </si>
  <si>
    <t>brom aren</t>
  </si>
  <si>
    <t>brom brev</t>
  </si>
  <si>
    <t>brom cath</t>
  </si>
  <si>
    <t>brom hord</t>
  </si>
  <si>
    <t>bulb alat</t>
  </si>
  <si>
    <t>bulb glau</t>
  </si>
  <si>
    <t>caes call</t>
  </si>
  <si>
    <t>caes parv</t>
  </si>
  <si>
    <t>cala tent</t>
  </si>
  <si>
    <t>call sieb</t>
  </si>
  <si>
    <t>call endl</t>
  </si>
  <si>
    <t>calo robe</t>
  </si>
  <si>
    <t>calo cune</t>
  </si>
  <si>
    <t>calo cunf</t>
  </si>
  <si>
    <t>calo dent</t>
  </si>
  <si>
    <t>calo scab</t>
  </si>
  <si>
    <t>caly tetr</t>
  </si>
  <si>
    <t>capp mitc</t>
  </si>
  <si>
    <t>card lila</t>
  </si>
  <si>
    <t>card pycn</t>
  </si>
  <si>
    <t>care bich</t>
  </si>
  <si>
    <t>care brev</t>
  </si>
  <si>
    <t>care gaud</t>
  </si>
  <si>
    <t>care inco</t>
  </si>
  <si>
    <t>cari ovat</t>
  </si>
  <si>
    <t>cart tinc</t>
  </si>
  <si>
    <t>cass acul</t>
  </si>
  <si>
    <t>cass adun</t>
  </si>
  <si>
    <t>cass arcu</t>
  </si>
  <si>
    <t>cass laev</t>
  </si>
  <si>
    <t>cass quin</t>
  </si>
  <si>
    <t>cass unca</t>
  </si>
  <si>
    <t>casy pube</t>
  </si>
  <si>
    <t>casy glab</t>
  </si>
  <si>
    <t>casu cris</t>
  </si>
  <si>
    <t>cass cunn</t>
  </si>
  <si>
    <t>cenc cili</t>
  </si>
  <si>
    <t>cenc ince</t>
  </si>
  <si>
    <t>cent sols</t>
  </si>
  <si>
    <t>cent tenu</t>
  </si>
  <si>
    <t>cent asia</t>
  </si>
  <si>
    <t>centella</t>
  </si>
  <si>
    <t>centipeda</t>
  </si>
  <si>
    <t>cent thes</t>
  </si>
  <si>
    <t>cent stri</t>
  </si>
  <si>
    <t>cest parq</t>
  </si>
  <si>
    <t>cham dall</t>
  </si>
  <si>
    <t>cham spa</t>
  </si>
  <si>
    <t>chei dist</t>
  </si>
  <si>
    <t>chei sieb</t>
  </si>
  <si>
    <t>chei cyan</t>
  </si>
  <si>
    <t>chen cari</t>
  </si>
  <si>
    <t>chen dese</t>
  </si>
  <si>
    <t>chen mela</t>
  </si>
  <si>
    <t>chlo diva</t>
  </si>
  <si>
    <t>chlo grey</t>
  </si>
  <si>
    <t>chlo trun</t>
  </si>
  <si>
    <t>chlo vent</t>
  </si>
  <si>
    <t>chlo virg</t>
  </si>
  <si>
    <t>chon junc</t>
  </si>
  <si>
    <t>chor pauc</t>
  </si>
  <si>
    <t>chry apic</t>
  </si>
  <si>
    <t>chry semi</t>
  </si>
  <si>
    <t>chry fall</t>
  </si>
  <si>
    <t>cirs vulg</t>
  </si>
  <si>
    <t>citr colo</t>
  </si>
  <si>
    <t>citr lana</t>
  </si>
  <si>
    <t>clem opac</t>
  </si>
  <si>
    <t>clem glyc</t>
  </si>
  <si>
    <t>clem micr</t>
  </si>
  <si>
    <t>comm cyan</t>
  </si>
  <si>
    <t>conv angu</t>
  </si>
  <si>
    <t>con arve</t>
  </si>
  <si>
    <t>conv gram</t>
  </si>
  <si>
    <t>cony bona</t>
  </si>
  <si>
    <t>cony cana</t>
  </si>
  <si>
    <t>cony parv</t>
  </si>
  <si>
    <t>cony suma</t>
  </si>
  <si>
    <t>corr refl</t>
  </si>
  <si>
    <t>cotu aust</t>
  </si>
  <si>
    <t>cras vari</t>
  </si>
  <si>
    <t>cras colo</t>
  </si>
  <si>
    <t>cras decu</t>
  </si>
  <si>
    <t>cras pedu</t>
  </si>
  <si>
    <t>cras sieb</t>
  </si>
  <si>
    <t>crep capi</t>
  </si>
  <si>
    <t>crin flac</t>
  </si>
  <si>
    <t>crot diss</t>
  </si>
  <si>
    <t>cryp amar</t>
  </si>
  <si>
    <t>cucu myri</t>
  </si>
  <si>
    <t>cucu zeyh</t>
  </si>
  <si>
    <t>cull pate</t>
  </si>
  <si>
    <t>cull tena</t>
  </si>
  <si>
    <t>cusc camp</t>
  </si>
  <si>
    <t>cycl lept</t>
  </si>
  <si>
    <t>cymb cana</t>
  </si>
  <si>
    <t>cymb laws</t>
  </si>
  <si>
    <t>cymb prei</t>
  </si>
  <si>
    <t>cymb obte</t>
  </si>
  <si>
    <t>cyno dact</t>
  </si>
  <si>
    <t>cyno aust</t>
  </si>
  <si>
    <t>cyno suav</t>
  </si>
  <si>
    <t>cype alte</t>
  </si>
  <si>
    <t>cype bifa</t>
  </si>
  <si>
    <t>cype conc</t>
  </si>
  <si>
    <t>cype diff</t>
  </si>
  <si>
    <t>cype fulv</t>
  </si>
  <si>
    <t>cype grac</t>
  </si>
  <si>
    <t>cype gymn</t>
  </si>
  <si>
    <t>cype lhot</t>
  </si>
  <si>
    <t>cype luci</t>
  </si>
  <si>
    <t>cype spe</t>
  </si>
  <si>
    <t>cype spn</t>
  </si>
  <si>
    <t>cype spha</t>
  </si>
  <si>
    <t>cype vagi</t>
  </si>
  <si>
    <t>cype vict</t>
  </si>
  <si>
    <t>dact glom</t>
  </si>
  <si>
    <t>dact radu</t>
  </si>
  <si>
    <t>dauc gloc</t>
  </si>
  <si>
    <t>davi geni</t>
  </si>
  <si>
    <t>davi lept</t>
  </si>
  <si>
    <t>davi mimo</t>
  </si>
  <si>
    <t>davi ulic</t>
  </si>
  <si>
    <t>denr glab</t>
  </si>
  <si>
    <t>dezm rigi</t>
  </si>
  <si>
    <t>desm brac</t>
  </si>
  <si>
    <t>desm camp</t>
  </si>
  <si>
    <t>desm gunn</t>
  </si>
  <si>
    <t>desm rhyt</t>
  </si>
  <si>
    <t>desm vari</t>
  </si>
  <si>
    <t>deye gunn</t>
  </si>
  <si>
    <t>dian caer</t>
  </si>
  <si>
    <t>dian long</t>
  </si>
  <si>
    <t>dian porr</t>
  </si>
  <si>
    <t>dian revo</t>
  </si>
  <si>
    <t>dica seto</t>
  </si>
  <si>
    <t>dich crin</t>
  </si>
  <si>
    <t>dich inae</t>
  </si>
  <si>
    <t>dich micr</t>
  </si>
  <si>
    <t>dich rara</t>
  </si>
  <si>
    <t>dich sieb</t>
  </si>
  <si>
    <t>dichelachne</t>
  </si>
  <si>
    <t>dich repe</t>
  </si>
  <si>
    <t>dichondra</t>
  </si>
  <si>
    <t>acac sali</t>
  </si>
  <si>
    <t>dich spa</t>
  </si>
  <si>
    <t>dich fimb</t>
  </si>
  <si>
    <t>dichopogon</t>
  </si>
  <si>
    <t>dich stri</t>
  </si>
  <si>
    <t>digi ammo</t>
  </si>
  <si>
    <t>digi brev</t>
  </si>
  <si>
    <t>digi brow</t>
  </si>
  <si>
    <t>digi coen</t>
  </si>
  <si>
    <t>digi diff</t>
  </si>
  <si>
    <t>digi diva</t>
  </si>
  <si>
    <t>digi parv</t>
  </si>
  <si>
    <t>digi porr</t>
  </si>
  <si>
    <t>digi ramu</t>
  </si>
  <si>
    <t>digi sang</t>
  </si>
  <si>
    <t>digi spe</t>
  </si>
  <si>
    <t>digi spn</t>
  </si>
  <si>
    <t>dill phyl</t>
  </si>
  <si>
    <t>dill reto</t>
  </si>
  <si>
    <t>dill seri</t>
  </si>
  <si>
    <t>dill sieb</t>
  </si>
  <si>
    <t>dipl fusc</t>
  </si>
  <si>
    <t>dipo atro</t>
  </si>
  <si>
    <t>dipo hami</t>
  </si>
  <si>
    <t>dipo punc</t>
  </si>
  <si>
    <t>diur abbr</t>
  </si>
  <si>
    <t>diur goon</t>
  </si>
  <si>
    <t>diur sulp</t>
  </si>
  <si>
    <t>diur tric</t>
  </si>
  <si>
    <t>dodo boro</t>
  </si>
  <si>
    <t>dodo hete</t>
  </si>
  <si>
    <t>dodo sinu</t>
  </si>
  <si>
    <t>dodo visc</t>
  </si>
  <si>
    <t>dood aspe</t>
  </si>
  <si>
    <t>dros auri</t>
  </si>
  <si>
    <t>dros burm</t>
  </si>
  <si>
    <t>dros glan</t>
  </si>
  <si>
    <t>dros pelt</t>
  </si>
  <si>
    <t>duma flor</t>
  </si>
  <si>
    <t>dysp pumi</t>
  </si>
  <si>
    <t>echi colo</t>
  </si>
  <si>
    <t>echi crus</t>
  </si>
  <si>
    <t>echi escu</t>
  </si>
  <si>
    <t>echi caes</t>
  </si>
  <si>
    <t>echi chee</t>
  </si>
  <si>
    <t>echi inte</t>
  </si>
  <si>
    <t>echinochloa</t>
  </si>
  <si>
    <t>Echinochloa sp.</t>
  </si>
  <si>
    <t>echinopogon</t>
  </si>
  <si>
    <t>echi mcki</t>
  </si>
  <si>
    <t>echi ovat</t>
  </si>
  <si>
    <t>echi plan</t>
  </si>
  <si>
    <t>echium</t>
  </si>
  <si>
    <t>echi vulg</t>
  </si>
  <si>
    <t>ehre memb</t>
  </si>
  <si>
    <t>ehre erec</t>
  </si>
  <si>
    <t>eina hast</t>
  </si>
  <si>
    <t>eina nuta</t>
  </si>
  <si>
    <t>eina poly</t>
  </si>
  <si>
    <t>eina trig</t>
  </si>
  <si>
    <t>eleo pall</t>
  </si>
  <si>
    <t>eleu tris</t>
  </si>
  <si>
    <t>elym plur</t>
  </si>
  <si>
    <t>elym rect</t>
  </si>
  <si>
    <t>elym scab</t>
  </si>
  <si>
    <t>ench tome</t>
  </si>
  <si>
    <t>enne grac</t>
  </si>
  <si>
    <t>enne lind</t>
  </si>
  <si>
    <t>enne nigr</t>
  </si>
  <si>
    <t>enne trun</t>
  </si>
  <si>
    <t>ento stri</t>
  </si>
  <si>
    <t>epil bill</t>
  </si>
  <si>
    <t>epil hirt</t>
  </si>
  <si>
    <t>erag alve</t>
  </si>
  <si>
    <t>erag brow</t>
  </si>
  <si>
    <t>erag bent</t>
  </si>
  <si>
    <t>erag cili</t>
  </si>
  <si>
    <t>erag curv</t>
  </si>
  <si>
    <t>erag elon</t>
  </si>
  <si>
    <t>erag falc</t>
  </si>
  <si>
    <t>erag lacu</t>
  </si>
  <si>
    <t>erag lepc</t>
  </si>
  <si>
    <t>erag leps</t>
  </si>
  <si>
    <t>erag mega</t>
  </si>
  <si>
    <t>erag moly</t>
  </si>
  <si>
    <t>erag parv</t>
  </si>
  <si>
    <t>erag pilo</t>
  </si>
  <si>
    <t>erag sedi</t>
  </si>
  <si>
    <t>erag spe</t>
  </si>
  <si>
    <t>erag spn</t>
  </si>
  <si>
    <t>erag trac</t>
  </si>
  <si>
    <t>erem bign</t>
  </si>
  <si>
    <t>erem debi</t>
  </si>
  <si>
    <t>erem dese</t>
  </si>
  <si>
    <t>erem glab</t>
  </si>
  <si>
    <t>erem long</t>
  </si>
  <si>
    <t>erem macu</t>
  </si>
  <si>
    <t>erem mitc</t>
  </si>
  <si>
    <t>erio cucu</t>
  </si>
  <si>
    <t>o</t>
  </si>
  <si>
    <t>Things to remember when entering data</t>
  </si>
  <si>
    <t>erio creb</t>
  </si>
  <si>
    <t>erio proc</t>
  </si>
  <si>
    <t>erio pseu</t>
  </si>
  <si>
    <t>erod cicu</t>
  </si>
  <si>
    <t>erod crin</t>
  </si>
  <si>
    <t>eryn palu</t>
  </si>
  <si>
    <t>euca albe</t>
  </si>
  <si>
    <t>euca blak</t>
  </si>
  <si>
    <t>euca brid</t>
  </si>
  <si>
    <t>euca cale</t>
  </si>
  <si>
    <t>euca cali</t>
  </si>
  <si>
    <t>euca cama</t>
  </si>
  <si>
    <t>euca chlo</t>
  </si>
  <si>
    <t>euca coni</t>
  </si>
  <si>
    <t>euca creb</t>
  </si>
  <si>
    <t>euca dalr</t>
  </si>
  <si>
    <t>euca deal</t>
  </si>
  <si>
    <t>euca dwye</t>
  </si>
  <si>
    <t>euca laev</t>
  </si>
  <si>
    <t>euca larg</t>
  </si>
  <si>
    <t>euca macr</t>
  </si>
  <si>
    <t>euca mela</t>
  </si>
  <si>
    <t>euca mell</t>
  </si>
  <si>
    <t>euca micr</t>
  </si>
  <si>
    <t>euca molu</t>
  </si>
  <si>
    <t>euca nort</t>
  </si>
  <si>
    <t>euca pauc</t>
  </si>
  <si>
    <t>euca pill</t>
  </si>
  <si>
    <t>euca popu</t>
  </si>
  <si>
    <t>euca prae</t>
  </si>
  <si>
    <t>euca prav</t>
  </si>
  <si>
    <t>euca ross</t>
  </si>
  <si>
    <t>euca side</t>
  </si>
  <si>
    <t>euca stel</t>
  </si>
  <si>
    <t>euca vimi</t>
  </si>
  <si>
    <t>euch invo</t>
  </si>
  <si>
    <t>euca japo</t>
  </si>
  <si>
    <t>euch spha</t>
  </si>
  <si>
    <t>eula aure</t>
  </si>
  <si>
    <t>euph plan</t>
  </si>
  <si>
    <t>eust lati</t>
  </si>
  <si>
    <t>evol alsi</t>
  </si>
  <si>
    <t>exoc aphy</t>
  </si>
  <si>
    <t>exoc cupr</t>
  </si>
  <si>
    <t>fall conv</t>
  </si>
  <si>
    <t>ficu rubi</t>
  </si>
  <si>
    <t>fimb dich</t>
  </si>
  <si>
    <t>flav aust</t>
  </si>
  <si>
    <t>fuma parv</t>
  </si>
  <si>
    <t>gahn aspe</t>
  </si>
  <si>
    <t>gahn sieb</t>
  </si>
  <si>
    <t>gali binu</t>
  </si>
  <si>
    <t>gali cili</t>
  </si>
  <si>
    <t>gali gaud</t>
  </si>
  <si>
    <t>gali lept</t>
  </si>
  <si>
    <t>gali migr</t>
  </si>
  <si>
    <t>gali prop</t>
  </si>
  <si>
    <t>gamo coar</t>
  </si>
  <si>
    <t>gamo purp</t>
  </si>
  <si>
    <t>geij parv</t>
  </si>
  <si>
    <t>geoc pusi</t>
  </si>
  <si>
    <t>gera home</t>
  </si>
  <si>
    <t>gera moll</t>
  </si>
  <si>
    <t>gera negl</t>
  </si>
  <si>
    <t>gera pote</t>
  </si>
  <si>
    <t>gera retr</t>
  </si>
  <si>
    <t>gera sola</t>
  </si>
  <si>
    <t>gera spe</t>
  </si>
  <si>
    <t>gera spn</t>
  </si>
  <si>
    <t>glan aris</t>
  </si>
  <si>
    <t>gloss bide</t>
  </si>
  <si>
    <t>glyc cane</t>
  </si>
  <si>
    <t>glyc clan</t>
  </si>
  <si>
    <t>glyc lati</t>
  </si>
  <si>
    <t>glyc micr</t>
  </si>
  <si>
    <t>glyc paci</t>
  </si>
  <si>
    <t>glyc sten</t>
  </si>
  <si>
    <t>glyc taba</t>
  </si>
  <si>
    <t>glyc tome</t>
  </si>
  <si>
    <t>gnap poly</t>
  </si>
  <si>
    <t>comp frut</t>
  </si>
  <si>
    <t>gomp hueg</t>
  </si>
  <si>
    <t>gomp celo</t>
  </si>
  <si>
    <t>gono elat</t>
  </si>
  <si>
    <t>gono micr</t>
  </si>
  <si>
    <t>gono tetr</t>
  </si>
  <si>
    <t>gono teuc</t>
  </si>
  <si>
    <t>good bell</t>
  </si>
  <si>
    <t>good cycl</t>
  </si>
  <si>
    <t>good fasc</t>
  </si>
  <si>
    <t>god glab</t>
  </si>
  <si>
    <t>good glau</t>
  </si>
  <si>
    <t>good hede</t>
  </si>
  <si>
    <t>good hete</t>
  </si>
  <si>
    <t>good macb</t>
  </si>
  <si>
    <t>good pinn</t>
  </si>
  <si>
    <t>grat peru</t>
  </si>
  <si>
    <t>grev flor</t>
  </si>
  <si>
    <t>grev ramo</t>
  </si>
  <si>
    <t>grev trit</t>
  </si>
  <si>
    <t>gype tubu</t>
  </si>
  <si>
    <t>haem plan</t>
  </si>
  <si>
    <t>hake leuc</t>
  </si>
  <si>
    <t>halg cyan</t>
  </si>
  <si>
    <t>halo aspe</t>
  </si>
  <si>
    <t>halo hete</t>
  </si>
  <si>
    <t>hard viol</t>
  </si>
  <si>
    <t>harm blen</t>
  </si>
  <si>
    <t>harm brev</t>
  </si>
  <si>
    <t>harm pube</t>
  </si>
  <si>
    <t>Hedypnois rhagadioloides</t>
  </si>
  <si>
    <t>hedy rhag</t>
  </si>
  <si>
    <t>heli ampl</t>
  </si>
  <si>
    <t>heli euro</t>
  </si>
  <si>
    <t>hete cont</t>
  </si>
  <si>
    <t>hibb acic</t>
  </si>
  <si>
    <t>hibb cist</t>
  </si>
  <si>
    <t>hibb line</t>
  </si>
  <si>
    <t>hibb obtu</t>
  </si>
  <si>
    <t>hibb ripa</t>
  </si>
  <si>
    <t>hibb serp</t>
  </si>
  <si>
    <t>hibi brac</t>
  </si>
  <si>
    <t>hibi kric</t>
  </si>
  <si>
    <t>hirs inca</t>
  </si>
  <si>
    <t>homo bels</t>
  </si>
  <si>
    <t>homo cern</t>
  </si>
  <si>
    <t>hord glau</t>
  </si>
  <si>
    <t>hord lepo</t>
  </si>
  <si>
    <t>hove gran</t>
  </si>
  <si>
    <t>hove hete</t>
  </si>
  <si>
    <t>hove lanc</t>
  </si>
  <si>
    <t>hove line</t>
  </si>
  <si>
    <t>hove purp</t>
  </si>
  <si>
    <t>hyal semi</t>
  </si>
  <si>
    <t>hyba mono</t>
  </si>
  <si>
    <t>hyrd laxi</t>
  </si>
  <si>
    <t>hydr pedu</t>
  </si>
  <si>
    <t>hydr trip</t>
  </si>
  <si>
    <t>hyme dent</t>
  </si>
  <si>
    <t>hypa hirt</t>
  </si>
  <si>
    <t>hype japo</t>
  </si>
  <si>
    <t>hype gram</t>
  </si>
  <si>
    <t>hype perf</t>
  </si>
  <si>
    <t>hypo glab</t>
  </si>
  <si>
    <t>hypo radi</t>
  </si>
  <si>
    <t>hypo hygr</t>
  </si>
  <si>
    <t>impe cyli</t>
  </si>
  <si>
    <t>indi ades</t>
  </si>
  <si>
    <t>indi aust</t>
  </si>
  <si>
    <t>indi brev</t>
  </si>
  <si>
    <t>indi coro</t>
  </si>
  <si>
    <t>ipom lonc</t>
  </si>
  <si>
    <t>isei memb</t>
  </si>
  <si>
    <t>isei vagn</t>
  </si>
  <si>
    <t>isoe gram</t>
  </si>
  <si>
    <t>isol cern</t>
  </si>
  <si>
    <t>isol hook</t>
  </si>
  <si>
    <t>isol spe</t>
  </si>
  <si>
    <t>isol spn</t>
  </si>
  <si>
    <t>isot fluv</t>
  </si>
  <si>
    <t>jasm line</t>
  </si>
  <si>
    <t>jasm suav</t>
  </si>
  <si>
    <t>junc arid</t>
  </si>
  <si>
    <t>junc aust</t>
  </si>
  <si>
    <t>junc bufo</t>
  </si>
  <si>
    <t>junc capi</t>
  </si>
  <si>
    <t>junc fili</t>
  </si>
  <si>
    <t>junc flav</t>
  </si>
  <si>
    <t>junc holo</t>
  </si>
  <si>
    <t>junc homo</t>
  </si>
  <si>
    <t>junc pauc</t>
  </si>
  <si>
    <t>junc pris</t>
  </si>
  <si>
    <t>junc radu</t>
  </si>
  <si>
    <t>junc remo</t>
  </si>
  <si>
    <t>junc spe</t>
  </si>
  <si>
    <t>junc spn</t>
  </si>
  <si>
    <t>junc subg</t>
  </si>
  <si>
    <t>junc subs</t>
  </si>
  <si>
    <t>junc usit</t>
  </si>
  <si>
    <t>junc vagi</t>
  </si>
  <si>
    <t>kunz parv</t>
  </si>
  <si>
    <t>lach aemu</t>
  </si>
  <si>
    <t>lach fili</t>
  </si>
  <si>
    <t>lact serr</t>
  </si>
  <si>
    <t>lage grac</t>
  </si>
  <si>
    <t>lage stip</t>
  </si>
  <si>
    <t>Lagenophora gracilis</t>
  </si>
  <si>
    <t>laxm grac</t>
  </si>
  <si>
    <t>leio brev</t>
  </si>
  <si>
    <t>leio lept</t>
  </si>
  <si>
    <t>leio pana</t>
  </si>
  <si>
    <t>leio semi</t>
  </si>
  <si>
    <t>leio tome</t>
  </si>
  <si>
    <t>lepi afri</t>
  </si>
  <si>
    <t>lepi bona</t>
  </si>
  <si>
    <t>lepi fasc</t>
  </si>
  <si>
    <t>lepi hyss</t>
  </si>
  <si>
    <t>lepi pseu</t>
  </si>
  <si>
    <t>lepi sagi</t>
  </si>
  <si>
    <t>lepi gunn</t>
  </si>
  <si>
    <t>lepi late</t>
  </si>
  <si>
    <t>lepi visc</t>
  </si>
  <si>
    <t>lpet asth</t>
  </si>
  <si>
    <t>lept digi</t>
  </si>
  <si>
    <t>lept diva</t>
  </si>
  <si>
    <t>lept elon</t>
  </si>
  <si>
    <t>lept pana</t>
  </si>
  <si>
    <t>leptorhynchos</t>
  </si>
  <si>
    <t>lept squa</t>
  </si>
  <si>
    <t>lept arac</t>
  </si>
  <si>
    <t>lept brev</t>
  </si>
  <si>
    <t>leptochloa</t>
  </si>
  <si>
    <t>Leptochloa sp.</t>
  </si>
  <si>
    <t>lept poly</t>
  </si>
  <si>
    <t>leptospermum</t>
  </si>
  <si>
    <t>lesp junc</t>
  </si>
  <si>
    <t>leuc abli</t>
  </si>
  <si>
    <t>leuc bifl</t>
  </si>
  <si>
    <t>leuc muti</t>
  </si>
  <si>
    <t>leuc virg</t>
  </si>
  <si>
    <t>lina peli</t>
  </si>
  <si>
    <t>linu marg</t>
  </si>
  <si>
    <t>linu trig</t>
  </si>
  <si>
    <t>linu usit</t>
  </si>
  <si>
    <t>liss stri</t>
  </si>
  <si>
    <t>loli loli</t>
  </si>
  <si>
    <t>loli pere</t>
  </si>
  <si>
    <t>loli rigi</t>
  </si>
  <si>
    <t>Lolium sp.</t>
  </si>
  <si>
    <t>loma brac</t>
  </si>
  <si>
    <t>loma conf</t>
  </si>
  <si>
    <t>loma cyli</t>
  </si>
  <si>
    <t>loma fili</t>
  </si>
  <si>
    <t>loma leuc</t>
  </si>
  <si>
    <t>loma long</t>
  </si>
  <si>
    <t>loma mult</t>
  </si>
  <si>
    <t>lotu aust</t>
  </si>
  <si>
    <t>lotu crue</t>
  </si>
  <si>
    <t>luzu dens</t>
  </si>
  <si>
    <t>luzu flac</t>
  </si>
  <si>
    <t>luzu meri</t>
  </si>
  <si>
    <t>lyci fero</t>
  </si>
  <si>
    <t>lyth hyss</t>
  </si>
  <si>
    <t>macr hete</t>
  </si>
  <si>
    <t>macr secu</t>
  </si>
  <si>
    <t>mair aphy</t>
  </si>
  <si>
    <t>mai appr</t>
  </si>
  <si>
    <t>mair coro</t>
  </si>
  <si>
    <t>mair deca</t>
  </si>
  <si>
    <t>mair ench</t>
  </si>
  <si>
    <t>mair micr</t>
  </si>
  <si>
    <t>mair peng</t>
  </si>
  <si>
    <t>mair pent</t>
  </si>
  <si>
    <t>malv negl</t>
  </si>
  <si>
    <t>malv parv</t>
  </si>
  <si>
    <t>malv vert</t>
  </si>
  <si>
    <t>malv amer</t>
  </si>
  <si>
    <t>malv coro</t>
  </si>
  <si>
    <t>marr vulg</t>
  </si>
  <si>
    <t>mars viri</t>
  </si>
  <si>
    <t>mars drum</t>
  </si>
  <si>
    <t>mayt bilo</t>
  </si>
  <si>
    <t>mayt cunn</t>
  </si>
  <si>
    <t>mayr silv</t>
  </si>
  <si>
    <t>medi arab</t>
  </si>
  <si>
    <t>medi laci</t>
  </si>
  <si>
    <t>medi lupu</t>
  </si>
  <si>
    <t>medi mini</t>
  </si>
  <si>
    <t>medi orb</t>
  </si>
  <si>
    <t>medi poly</t>
  </si>
  <si>
    <t>medi prae</t>
  </si>
  <si>
    <t>medi sati</t>
  </si>
  <si>
    <t>medi scut</t>
  </si>
  <si>
    <t>medi trun</t>
  </si>
  <si>
    <t>mela brac</t>
  </si>
  <si>
    <t>mela erub</t>
  </si>
  <si>
    <t>mehl oblo</t>
  </si>
  <si>
    <t>meli azer</t>
  </si>
  <si>
    <t>meli erub</t>
  </si>
  <si>
    <t>meli urce</t>
  </si>
  <si>
    <t>meli indi</t>
  </si>
  <si>
    <t>meli repe</t>
  </si>
  <si>
    <t>meth dem</t>
  </si>
  <si>
    <t>meth saty</t>
  </si>
  <si>
    <t>micr sess</t>
  </si>
  <si>
    <t>micr land</t>
  </si>
  <si>
    <t>micr parv</t>
  </si>
  <si>
    <t>microtis</t>
  </si>
  <si>
    <t>micr unif</t>
  </si>
  <si>
    <t>mimu grac</t>
  </si>
  <si>
    <t>minu cunn</t>
  </si>
  <si>
    <t>minu lept</t>
  </si>
  <si>
    <t>modi caro</t>
  </si>
  <si>
    <t>moen erec</t>
  </si>
  <si>
    <t>mono scop</t>
  </si>
  <si>
    <t>muel rhyt</t>
  </si>
  <si>
    <t>murd gram</t>
  </si>
  <si>
    <t>myop mont</t>
  </si>
  <si>
    <t>myop plat</t>
  </si>
  <si>
    <t>myri pedu</t>
  </si>
  <si>
    <t>netu grac</t>
  </si>
  <si>
    <t>nico suav</t>
  </si>
  <si>
    <t>nico mega</t>
  </si>
  <si>
    <t>note micr</t>
  </si>
  <si>
    <t>oeno affi</t>
  </si>
  <si>
    <t>oeno moll</t>
  </si>
  <si>
    <t>oeno stri</t>
  </si>
  <si>
    <t>Oenothera sp.</t>
  </si>
  <si>
    <t>olea alpi</t>
  </si>
  <si>
    <t>olea elli</t>
  </si>
  <si>
    <t>olea pime</t>
  </si>
  <si>
    <t>olea visc</t>
  </si>
  <si>
    <t>onci letc</t>
  </si>
  <si>
    <t>oper aspe</t>
  </si>
  <si>
    <t>oper diph</t>
  </si>
  <si>
    <t>oper hisp</t>
  </si>
  <si>
    <t>ophi lusi</t>
  </si>
  <si>
    <t>opli aemu</t>
  </si>
  <si>
    <t>opli imbe</t>
  </si>
  <si>
    <t>opun aura</t>
  </si>
  <si>
    <t>opun stri</t>
  </si>
  <si>
    <t>oreo erio</t>
  </si>
  <si>
    <t>oxal arti</t>
  </si>
  <si>
    <t>oxal chno</t>
  </si>
  <si>
    <t>oxal conr</t>
  </si>
  <si>
    <t>oxal exil</t>
  </si>
  <si>
    <t>oxal pere</t>
  </si>
  <si>
    <t>oxal radi</t>
  </si>
  <si>
    <t>oxal spe</t>
  </si>
  <si>
    <t>oxal spn</t>
  </si>
  <si>
    <t>oxal tomp</t>
  </si>
  <si>
    <t>ozot dios</t>
  </si>
  <si>
    <t>ozot obco</t>
  </si>
  <si>
    <t>pand pand</t>
  </si>
  <si>
    <t>pani bunc</t>
  </si>
  <si>
    <t>pani colo</t>
  </si>
  <si>
    <t>pani effu</t>
  </si>
  <si>
    <t>pani laev</t>
  </si>
  <si>
    <t>pani quee</t>
  </si>
  <si>
    <t>pani simi</t>
  </si>
  <si>
    <t>pari debi</t>
  </si>
  <si>
    <t>paro bras</t>
  </si>
  <si>
    <t>pars euca</t>
  </si>
  <si>
    <t>pasp albo</t>
  </si>
  <si>
    <t>pasp aver</t>
  </si>
  <si>
    <t>pasp caes</t>
  </si>
  <si>
    <t>pasp cons</t>
  </si>
  <si>
    <t>pasp dist</t>
  </si>
  <si>
    <t>pasp glob</t>
  </si>
  <si>
    <t>pasp grac</t>
  </si>
  <si>
    <t>pasp dila</t>
  </si>
  <si>
    <t>pate seri</t>
  </si>
  <si>
    <t>pela inod</t>
  </si>
  <si>
    <t>pell falc</t>
  </si>
  <si>
    <t>pell nana</t>
  </si>
  <si>
    <t>penn alop</t>
  </si>
  <si>
    <t>penn clan</t>
  </si>
  <si>
    <t>pero rara</t>
  </si>
  <si>
    <t>pers deci</t>
  </si>
  <si>
    <t>pers hydr</t>
  </si>
  <si>
    <t>pers lapa</t>
  </si>
  <si>
    <t>pers pros</t>
  </si>
  <si>
    <t>pers corn</t>
  </si>
  <si>
    <t>pers seri</t>
  </si>
  <si>
    <t>petr cane</t>
  </si>
  <si>
    <t>petr nant</t>
  </si>
  <si>
    <t>petr velu</t>
  </si>
  <si>
    <t>Petrorhagia sp.</t>
  </si>
  <si>
    <t>petrorhagia</t>
  </si>
  <si>
    <t>phal aqua</t>
  </si>
  <si>
    <t>phal mino</t>
  </si>
  <si>
    <t>phal para</t>
  </si>
  <si>
    <t>phil diff</t>
  </si>
  <si>
    <t>phyl cane</t>
  </si>
  <si>
    <t>phyl nodi</t>
  </si>
  <si>
    <t>phyl hirt</t>
  </si>
  <si>
    <t>phyl lace</t>
  </si>
  <si>
    <t>phyl made</t>
  </si>
  <si>
    <t>phyl subc</t>
  </si>
  <si>
    <t>phyl virg</t>
  </si>
  <si>
    <t>phys angu</t>
  </si>
  <si>
    <t>phys ixoc</t>
  </si>
  <si>
    <t>phyt octa</t>
  </si>
  <si>
    <t>pime curv</t>
  </si>
  <si>
    <t>pime glau</t>
  </si>
  <si>
    <t>pime lini</t>
  </si>
  <si>
    <t>pime micn</t>
  </si>
  <si>
    <t>pime micc</t>
  </si>
  <si>
    <t>pime neoa</t>
  </si>
  <si>
    <t>pime simp</t>
  </si>
  <si>
    <t>pime stri</t>
  </si>
  <si>
    <t>pime tric</t>
  </si>
  <si>
    <t>pitt angu</t>
  </si>
  <si>
    <t>pitt undu</t>
  </si>
  <si>
    <t>plan cunn</t>
  </si>
  <si>
    <t>plan debi</t>
  </si>
  <si>
    <t>plan gaud</t>
  </si>
  <si>
    <t>plan hisp</t>
  </si>
  <si>
    <t>plan lanc</t>
  </si>
  <si>
    <t>plan turr</t>
  </si>
  <si>
    <t>plan vari</t>
  </si>
  <si>
    <t>plec grav</t>
  </si>
  <si>
    <t>plec parv</t>
  </si>
  <si>
    <t>pleu ruti</t>
  </si>
  <si>
    <t>pluc dent</t>
  </si>
  <si>
    <t>poa annu</t>
  </si>
  <si>
    <t>. for genera with native and exotic species, if not identified (see below)</t>
  </si>
  <si>
    <t>If 4 + 4 codes are not unique or if native and exotic species cannot be identified, then use the codes, below</t>
  </si>
  <si>
    <t>podo arac</t>
  </si>
  <si>
    <t>podo hier</t>
  </si>
  <si>
    <t>podo jace</t>
  </si>
  <si>
    <t>podo muel</t>
  </si>
  <si>
    <t>podo negl</t>
  </si>
  <si>
    <t>poly cory</t>
  </si>
  <si>
    <t>poly tetr</t>
  </si>
  <si>
    <t>poly japo</t>
  </si>
  <si>
    <t>poly aren</t>
  </si>
  <si>
    <t>poly avic</t>
  </si>
  <si>
    <t>poly pleb</t>
  </si>
  <si>
    <t>poly long</t>
  </si>
  <si>
    <t>poly pusi</t>
  </si>
  <si>
    <t>poly mons</t>
  </si>
  <si>
    <t>poma umbe</t>
  </si>
  <si>
    <t>pora micr</t>
  </si>
  <si>
    <t>port fili</t>
  </si>
  <si>
    <t>port oler</t>
  </si>
  <si>
    <t>prat conc</t>
  </si>
  <si>
    <t>prat purp</t>
  </si>
  <si>
    <t>pseu lute</t>
  </si>
  <si>
    <t>psyd odor</t>
  </si>
  <si>
    <t>psyd olei</t>
  </si>
  <si>
    <t>pter escu</t>
  </si>
  <si>
    <t>pter bico</t>
  </si>
  <si>
    <t>pter cycn</t>
  </si>
  <si>
    <t>petr muti</t>
  </si>
  <si>
    <t>pter rufa</t>
  </si>
  <si>
    <t>Ptilotus sp.</t>
  </si>
  <si>
    <t>ptil exal</t>
  </si>
  <si>
    <t>ptil macr</t>
  </si>
  <si>
    <t>ptil nobi</t>
  </si>
  <si>
    <t>ptil obov</t>
  </si>
  <si>
    <t>pult foli</t>
  </si>
  <si>
    <t>pult lino</t>
  </si>
  <si>
    <t>pult micr</t>
  </si>
  <si>
    <t>pult setu</t>
  </si>
  <si>
    <t>pult spin</t>
  </si>
  <si>
    <t>pycn glob</t>
  </si>
  <si>
    <t>pycn thom</t>
  </si>
  <si>
    <t>ranu unun</t>
  </si>
  <si>
    <t>ranu lapp</t>
  </si>
  <si>
    <t>ranu sess</t>
  </si>
  <si>
    <t>ranu undo</t>
  </si>
  <si>
    <t>rapi rugo</t>
  </si>
  <si>
    <t>rhag spin</t>
  </si>
  <si>
    <t>rhod anth</t>
  </si>
  <si>
    <t>rhod coym</t>
  </si>
  <si>
    <t>rhod diff</t>
  </si>
  <si>
    <t>rhyn line</t>
  </si>
  <si>
    <t>rhyn aust</t>
  </si>
  <si>
    <t>rhyn mini</t>
  </si>
  <si>
    <t>rosa rubi</t>
  </si>
  <si>
    <t>rost adsc</t>
  </si>
  <si>
    <t>rost cris</t>
  </si>
  <si>
    <t>rost pumi</t>
  </si>
  <si>
    <t>rubu angl</t>
  </si>
  <si>
    <t>rubu parv</t>
  </si>
  <si>
    <t>rume brow</t>
  </si>
  <si>
    <t>rume cris</t>
  </si>
  <si>
    <t>rume dumo</t>
  </si>
  <si>
    <t>rume spn</t>
  </si>
  <si>
    <t>Rumex sp. (native species)</t>
  </si>
  <si>
    <t>rume spe</t>
  </si>
  <si>
    <t>Rumex sp. (exotic species)</t>
  </si>
  <si>
    <t>rume tena</t>
  </si>
  <si>
    <t>rhyt auri</t>
  </si>
  <si>
    <t>rhyt bipa</t>
  </si>
  <si>
    <t>rhyt fulv</t>
  </si>
  <si>
    <t>rhyt pall</t>
  </si>
  <si>
    <t>rhyt race</t>
  </si>
  <si>
    <t>rhyt seta</t>
  </si>
  <si>
    <t>rhyt tenu</t>
  </si>
  <si>
    <t>sagi apet</t>
  </si>
  <si>
    <t>sals aust</t>
  </si>
  <si>
    <t xml:space="preserve">Note: if the ID is only to the species level, then the tool returns a *, and no score is returned, unless the species is exotic, or if all species in that genus have the same score </t>
  </si>
  <si>
    <t>salv refl</t>
  </si>
  <si>
    <t>salv verb</t>
  </si>
  <si>
    <t>sann cunn</t>
  </si>
  <si>
    <t>sant acum</t>
  </si>
  <si>
    <t>sant lanc</t>
  </si>
  <si>
    <t>sche aust</t>
  </si>
  <si>
    <t>schk pinn</t>
  </si>
  <si>
    <t>scho apog</t>
  </si>
  <si>
    <t>scle bifl</t>
  </si>
  <si>
    <t>scle mack</t>
  </si>
  <si>
    <t>scle atri</t>
  </si>
  <si>
    <t>scle anis</t>
  </si>
  <si>
    <t>scle bico</t>
  </si>
  <si>
    <t>scle birc</t>
  </si>
  <si>
    <t>scle calc</t>
  </si>
  <si>
    <t>scle conv</t>
  </si>
  <si>
    <t>Use the 4 letters of genus and species (4 + 4), unless the are the following:</t>
  </si>
  <si>
    <r>
      <t xml:space="preserve">. If the genus name has only 3 letters (i.e., </t>
    </r>
    <r>
      <rPr>
        <i/>
        <sz val="10"/>
        <rFont val="Arial"/>
        <family val="2"/>
      </rPr>
      <t>Poa</t>
    </r>
    <r>
      <rPr>
        <sz val="10"/>
        <rFont val="Arial"/>
        <family val="2"/>
      </rPr>
      <t>)</t>
    </r>
  </si>
  <si>
    <t>For tips on entering data, see the next sheet</t>
  </si>
  <si>
    <t>scle muri</t>
  </si>
  <si>
    <t>scle stel</t>
  </si>
  <si>
    <t>scle tetr</t>
  </si>
  <si>
    <t>scut humi</t>
  </si>
  <si>
    <t>sene bath</t>
  </si>
  <si>
    <t>sene bipi</t>
  </si>
  <si>
    <t>sene dias</t>
  </si>
  <si>
    <t>sene hisp</t>
  </si>
  <si>
    <t>sene laut</t>
  </si>
  <si>
    <t>sene line</t>
  </si>
  <si>
    <t>sene mada</t>
  </si>
  <si>
    <t>sene pinn</t>
  </si>
  <si>
    <t>sene pren</t>
  </si>
  <si>
    <t>sene quad</t>
  </si>
  <si>
    <t>sene tenu</t>
  </si>
  <si>
    <t>senn arte</t>
  </si>
  <si>
    <t>senn barc</t>
  </si>
  <si>
    <t>senn coro</t>
  </si>
  <si>
    <t>senn occi</t>
  </si>
  <si>
    <t>seta grac</t>
  </si>
  <si>
    <t>seta parv</t>
  </si>
  <si>
    <t>seta pumi</t>
  </si>
  <si>
    <t>seta viri</t>
  </si>
  <si>
    <t>sida corr</t>
  </si>
  <si>
    <t>sida cunn</t>
  </si>
  <si>
    <t>sida fili</t>
  </si>
  <si>
    <t>sida hack</t>
  </si>
  <si>
    <t>sida intr</t>
  </si>
  <si>
    <t>sida romb</t>
  </si>
  <si>
    <t>sida spin</t>
  </si>
  <si>
    <t>sida tric</t>
  </si>
  <si>
    <t>sige aust</t>
  </si>
  <si>
    <t>sige orie</t>
  </si>
  <si>
    <t>sile noct</t>
  </si>
  <si>
    <t>sily mari</t>
  </si>
  <si>
    <t>sisy irio</t>
  </si>
  <si>
    <t>sisy offi</t>
  </si>
  <si>
    <t>sola ambl</t>
  </si>
  <si>
    <t>sola amer</t>
  </si>
  <si>
    <t>sola avic</t>
  </si>
  <si>
    <t>sola brow</t>
  </si>
  <si>
    <t>sola camp</t>
  </si>
  <si>
    <t>sola cine</t>
  </si>
  <si>
    <t>sola eleg</t>
  </si>
  <si>
    <t>sola elli</t>
  </si>
  <si>
    <t>sola esur</t>
  </si>
  <si>
    <t>sola fero</t>
  </si>
  <si>
    <t>sola nigr</t>
  </si>
  <si>
    <t>sola opac</t>
  </si>
  <si>
    <t>sola papa</t>
  </si>
  <si>
    <t>sola parv</t>
  </si>
  <si>
    <t>sola pseu</t>
  </si>
  <si>
    <t>sola radi</t>
  </si>
  <si>
    <t>sole bell</t>
  </si>
  <si>
    <t>sole domi</t>
  </si>
  <si>
    <t>soli sess</t>
  </si>
  <si>
    <t>soli stol</t>
  </si>
  <si>
    <t>sonc aspe</t>
  </si>
  <si>
    <t>sonc oler</t>
  </si>
  <si>
    <t>sorg bico</t>
  </si>
  <si>
    <t>sorg hale</t>
  </si>
  <si>
    <t>Sorghum leiocladum (25% or &gt;)</t>
  </si>
  <si>
    <t>spar junc</t>
  </si>
  <si>
    <t>sper rubr</t>
  </si>
  <si>
    <t>spor acti</t>
  </si>
  <si>
    <t>spor afri</t>
  </si>
  <si>
    <t>spor caro</t>
  </si>
  <si>
    <t>spor creb</t>
  </si>
  <si>
    <t>spor elon</t>
  </si>
  <si>
    <t>spor mitc</t>
  </si>
  <si>
    <t>stac arve</t>
  </si>
  <si>
    <t>stac mono</t>
  </si>
  <si>
    <t>stac muri</t>
  </si>
  <si>
    <t>stac vimi</t>
  </si>
  <si>
    <t>stel angu</t>
  </si>
  <si>
    <t>stel fili</t>
  </si>
  <si>
    <t>stel flac</t>
  </si>
  <si>
    <t>stel mult</t>
  </si>
  <si>
    <t>stel pung</t>
  </si>
  <si>
    <t>stem flor</t>
  </si>
  <si>
    <t>stem glab</t>
  </si>
  <si>
    <t>stua hama</t>
  </si>
  <si>
    <t>stua muel</t>
  </si>
  <si>
    <t>styl egla</t>
  </si>
  <si>
    <t>styl gram</t>
  </si>
  <si>
    <t>styp glau</t>
  </si>
  <si>
    <t>styp trif</t>
  </si>
  <si>
    <t>swai affi</t>
  </si>
  <si>
    <t>swai behr</t>
  </si>
  <si>
    <t>Nomenclature: all plant names are as in PlantNet (as of 29 May 2015). If older names are used then they won't register. To look up current names in PlantNet, tick the "Show synonyms" box on the search page at: http://plantnet.rbgsyd.nsw.gov.au/search/simple.htm. If new synonyms are subsequently introduced, then use the old names, as in this spreadsheet or update this spreadsheet with newer names as they appear.</t>
  </si>
  <si>
    <t>Code</t>
  </si>
  <si>
    <t>Name returned</t>
  </si>
  <si>
    <t>swai barc</t>
  </si>
  <si>
    <t>swai cade</t>
  </si>
  <si>
    <t>swai gale</t>
  </si>
  <si>
    <t>swai grey</t>
  </si>
  <si>
    <t>swai lute</t>
  </si>
  <si>
    <t>swai micr</t>
  </si>
  <si>
    <t>swai mont</t>
  </si>
  <si>
    <t>swai murr</t>
  </si>
  <si>
    <t>swai orob</t>
  </si>
  <si>
    <t>swai phac</t>
  </si>
  <si>
    <t>swai proc</t>
  </si>
  <si>
    <t>swai quee</t>
  </si>
  <si>
    <t>swai reti</t>
  </si>
  <si>
    <t>swai seri</t>
  </si>
  <si>
    <t>swai swai</t>
  </si>
  <si>
    <t>tage minu</t>
  </si>
  <si>
    <t>tara offi</t>
  </si>
  <si>
    <t>temp sten</t>
  </si>
  <si>
    <t>teph brac</t>
  </si>
  <si>
    <t>tetr tetr</t>
  </si>
  <si>
    <t>tetr thym</t>
  </si>
  <si>
    <t>teuc agut</t>
  </si>
  <si>
    <t>teuc spa</t>
  </si>
  <si>
    <t>tell adve</t>
  </si>
  <si>
    <t>thel carn</t>
  </si>
  <si>
    <t>thel pauc</t>
  </si>
  <si>
    <t>thel sp</t>
  </si>
  <si>
    <t>thes aust</t>
  </si>
  <si>
    <t>thry mitc</t>
  </si>
  <si>
    <t>thys pate</t>
  </si>
  <si>
    <t>thys tube</t>
  </si>
  <si>
    <t>tolp barb</t>
  </si>
  <si>
    <t>trac inci</t>
  </si>
  <si>
    <t>trag porr</t>
  </si>
  <si>
    <t>trag aust</t>
  </si>
  <si>
    <t>tria triq</t>
  </si>
  <si>
    <t>trib micr</t>
  </si>
  <si>
    <t>trib minu</t>
  </si>
  <si>
    <t>trib terr</t>
  </si>
  <si>
    <t>Tribulus sp.</t>
  </si>
  <si>
    <t>tric elat</t>
  </si>
  <si>
    <t>trif angu</t>
  </si>
  <si>
    <t>trif arve</t>
  </si>
  <si>
    <t>trif camp</t>
  </si>
  <si>
    <t>trif repe</t>
  </si>
  <si>
    <t>trif stri</t>
  </si>
  <si>
    <t>trif subt</t>
  </si>
  <si>
    <t>trip loli</t>
  </si>
  <si>
    <t>trip pygm</t>
  </si>
  <si>
    <t>uroc noto</t>
  </si>
  <si>
    <t>uroc pani</t>
  </si>
  <si>
    <t>uroc pili</t>
  </si>
  <si>
    <t>uroc prae</t>
  </si>
  <si>
    <t>uroc subq</t>
  </si>
  <si>
    <t>Urochloa sp.</t>
  </si>
  <si>
    <t>urti inci</t>
  </si>
  <si>
    <t>urti uren</t>
  </si>
  <si>
    <t>Urtica sp.</t>
  </si>
  <si>
    <t>urtr dich</t>
  </si>
  <si>
    <t>vach farn</t>
  </si>
  <si>
    <t>vell para</t>
  </si>
  <si>
    <t>vent vimi</t>
  </si>
  <si>
    <t>verb thap</t>
  </si>
  <si>
    <t>verb virg</t>
  </si>
  <si>
    <t>verb bona</t>
  </si>
  <si>
    <t>verb cara</t>
  </si>
  <si>
    <t>verb gaud</t>
  </si>
  <si>
    <t>verb offi</t>
  </si>
  <si>
    <t>verb quad</t>
  </si>
  <si>
    <t>verb rigi</t>
  </si>
  <si>
    <t>Verbena sp.</t>
  </si>
  <si>
    <t>vern cine</t>
  </si>
  <si>
    <t>vero aren</t>
  </si>
  <si>
    <t>vero caly</t>
  </si>
  <si>
    <t>vero grac</t>
  </si>
  <si>
    <t>vero pleb</t>
  </si>
  <si>
    <t>vici faba</t>
  </si>
  <si>
    <t>vici mona</t>
  </si>
  <si>
    <t>vici sati</t>
  </si>
  <si>
    <t>vici tetr</t>
  </si>
  <si>
    <t>vici vill</t>
  </si>
  <si>
    <t>vign radi</t>
  </si>
  <si>
    <t>viol beto</t>
  </si>
  <si>
    <t>viol cale</t>
  </si>
  <si>
    <t>viol hede</t>
  </si>
  <si>
    <t>vitt cerv</t>
  </si>
  <si>
    <t>vitt cune</t>
  </si>
  <si>
    <t>vitt diss</t>
  </si>
  <si>
    <t>vitt erem</t>
  </si>
  <si>
    <t>vitt muel</t>
  </si>
  <si>
    <t>vitt pter</t>
  </si>
  <si>
    <t>vitt sulc</t>
  </si>
  <si>
    <t>vulp brom</t>
  </si>
  <si>
    <t>vulp mura</t>
  </si>
  <si>
    <t>vulp myur</t>
  </si>
  <si>
    <t>Vulpia sp.</t>
  </si>
  <si>
    <t>wahl comm</t>
  </si>
  <si>
    <t>wahl grat</t>
  </si>
  <si>
    <t>wahl gras</t>
  </si>
  <si>
    <t>wahl gran</t>
  </si>
  <si>
    <t>wahl lute</t>
  </si>
  <si>
    <t>wahl mult</t>
  </si>
  <si>
    <t>wahl plan</t>
  </si>
  <si>
    <t>wahl quee</t>
  </si>
  <si>
    <t>wahl stri</t>
  </si>
  <si>
    <t>walw prol</t>
  </si>
  <si>
    <t>walw subx</t>
  </si>
  <si>
    <t>wurm bigl</t>
  </si>
  <si>
    <t>wurm dioi</t>
  </si>
  <si>
    <t>xant occi</t>
  </si>
  <si>
    <t>xant spin</t>
  </si>
  <si>
    <t>xant stru</t>
  </si>
  <si>
    <t>xanthium</t>
  </si>
  <si>
    <t>xant acau</t>
  </si>
  <si>
    <t>xanthorrhoea</t>
  </si>
  <si>
    <t>cassytha</t>
  </si>
  <si>
    <t>cassinia</t>
  </si>
  <si>
    <t>brunonia</t>
  </si>
  <si>
    <t>brunoniella</t>
  </si>
  <si>
    <t>xant glau</t>
  </si>
  <si>
    <t>xant john</t>
  </si>
  <si>
    <t>xero brac</t>
  </si>
  <si>
    <t>xero visc</t>
  </si>
  <si>
    <t>zale gale</t>
  </si>
  <si>
    <t>zea mays</t>
  </si>
  <si>
    <t>zorn dyct</t>
  </si>
  <si>
    <t>zorn flor</t>
  </si>
  <si>
    <t>zygo glau</t>
  </si>
  <si>
    <t>zygo iodo</t>
  </si>
  <si>
    <t>Weed value score</t>
  </si>
  <si>
    <t>Level 5 weed species (BB 1 to 7)</t>
  </si>
  <si>
    <t>Level 4 weed species (BB 1 to 7)</t>
  </si>
  <si>
    <t>Common weed species (level 3) (BB 1 to 7)</t>
  </si>
  <si>
    <t>See cells below for instructions on entering species data</t>
  </si>
  <si>
    <t>Datum and Zone</t>
  </si>
  <si>
    <t>poa labi (not in drainage lines)</t>
  </si>
  <si>
    <t>Poa labillardierei (not in drainage lines)</t>
  </si>
  <si>
    <t>mars angu</t>
  </si>
  <si>
    <t>Marsdenia angustifolia</t>
  </si>
  <si>
    <t>Marsilea sp.</t>
  </si>
  <si>
    <t>No. trees with hollows</t>
  </si>
  <si>
    <t>Litter (cover %)</t>
  </si>
  <si>
    <t>Bare ground (% cover)</t>
  </si>
  <si>
    <t>Cryptogam (% cover)</t>
  </si>
  <si>
    <t>Woody debris (linear m)</t>
  </si>
  <si>
    <t>Woody regeneration (no. spp.)</t>
  </si>
  <si>
    <t>Date of survey:</t>
  </si>
  <si>
    <t xml:space="preserve">Site name &amp; location: </t>
  </si>
  <si>
    <t xml:space="preserve">Survey Id. and Site Id. codes: </t>
  </si>
  <si>
    <t>Woody regeneration (abund.)</t>
  </si>
  <si>
    <t>Rocks - surface (cover %)</t>
  </si>
  <si>
    <t>Rocks - outcropping (cover %)</t>
  </si>
  <si>
    <t>Note 1: The above data are consistent with the NSW Vegetation Information Standards</t>
  </si>
  <si>
    <r>
      <t>Significance Rating</t>
    </r>
    <r>
      <rPr>
        <b/>
        <sz val="10"/>
        <color indexed="10"/>
        <rFont val="Arial"/>
        <family val="2"/>
      </rPr>
      <t xml:space="preserve"> </t>
    </r>
  </si>
  <si>
    <t>A</t>
  </si>
  <si>
    <t>B</t>
  </si>
  <si>
    <t>C</t>
  </si>
  <si>
    <t>X</t>
  </si>
  <si>
    <t>Y</t>
  </si>
  <si>
    <t>Z</t>
  </si>
  <si>
    <t>Level A species (BB 1 to 7)</t>
  </si>
  <si>
    <t>Level B species (BB 1 to 7)</t>
  </si>
  <si>
    <t>Level C species (BB 1 to 7)</t>
  </si>
  <si>
    <t>Level A species (no C/A score 2)</t>
  </si>
  <si>
    <t>Level A species (no C/A score 1)</t>
  </si>
  <si>
    <t>Level C species (no C/A score 2)</t>
  </si>
  <si>
    <t>Level C species (no C/A score 1)</t>
  </si>
  <si>
    <t>Level C species  (no C/A score 2)</t>
  </si>
  <si>
    <t>Level C species  (no C/A score 1)</t>
  </si>
  <si>
    <t>Level 5 weed species (no C/A score 2)</t>
  </si>
  <si>
    <t>Level 5 weed species (no C/A score 1)</t>
  </si>
  <si>
    <t>Level 4 weed species (no C/A score 2)</t>
  </si>
  <si>
    <t>Level 4 weed species (no C/A score 1)</t>
  </si>
  <si>
    <t>Common weed species (level 3) (no C/A score 2)</t>
  </si>
  <si>
    <t>Common weed species (level 3) (no C/A score 1)</t>
  </si>
  <si>
    <t>Level 2 species (C/A score 2)</t>
  </si>
  <si>
    <t>Level 2 species (C/A score 1)</t>
  </si>
  <si>
    <t>Level 1 species (C/A score 2)</t>
  </si>
  <si>
    <t>Level 1 species (C/A score 1)</t>
  </si>
  <si>
    <t>Common species (C/A score 2)</t>
  </si>
  <si>
    <t>Common species (C/A score 1)</t>
  </si>
  <si>
    <t>Level Z weed  species (level 3) (no C/A score 2)</t>
  </si>
  <si>
    <t>Level Z weed  species (level 3) (no C/A score 1)</t>
  </si>
  <si>
    <t>Level X weed species (no C/A score 2)</t>
  </si>
  <si>
    <t>Level X weed species (BB 1 to 7)</t>
  </si>
  <si>
    <t>Level X weed species (no C/A score 1)</t>
  </si>
  <si>
    <t>Level Y weed species (BB 1 to 7)</t>
  </si>
  <si>
    <t>Level Y weed species (no C/A score 2)</t>
  </si>
  <si>
    <t>Level Y weed species (no C/A score 1)</t>
  </si>
  <si>
    <t>Level Z weed species (level 3) (C/A score 1 to 7)</t>
  </si>
  <si>
    <t>Level B species (no C/A score 2)</t>
  </si>
  <si>
    <t>Level B species (no C/A score 1)</t>
  </si>
  <si>
    <t>Level X species (BB 1 to 7)</t>
  </si>
  <si>
    <t>Level X species (no C/A score 2)</t>
  </si>
  <si>
    <t>Level X species (no C/A score 1)</t>
  </si>
  <si>
    <t>Level Y species (BB 1 to 7)</t>
  </si>
  <si>
    <t>Level Y species (no C/A score 2)</t>
  </si>
  <si>
    <t>Level Y species (no C/A score 1)</t>
  </si>
  <si>
    <t>Level Z species (BB 1 to 7)</t>
  </si>
  <si>
    <t>Level Z species (no C/A score 2)</t>
  </si>
  <si>
    <t>Level Z species (no C/A score 1)</t>
  </si>
  <si>
    <t>Cover / abundance scores for data entry</t>
  </si>
  <si>
    <t>Note 2: The above values do not contribute to the site's Floristic Value Score</t>
  </si>
  <si>
    <t>Significant weed species cover % (level X species), as assessed by the step-point transect method (see Method Report)</t>
  </si>
  <si>
    <t>Use the following box as an indicator of cover of significant weeds (level X species only)</t>
  </si>
  <si>
    <t>The total % cover (total % cover of all species) of the following species is to be entered in the blue box, above</t>
  </si>
  <si>
    <t>Native Plant Species Profile of Plot</t>
  </si>
  <si>
    <t>Weed Cover and Scoring Values</t>
  </si>
  <si>
    <t>Special Case Additional Scores to be Added, as Appropriate</t>
  </si>
  <si>
    <t>Number of significant weed species (level X species)</t>
  </si>
  <si>
    <t>Number level C species</t>
  </si>
  <si>
    <t>Number of level A species</t>
  </si>
  <si>
    <t>Number of level B species</t>
  </si>
  <si>
    <t>end</t>
  </si>
  <si>
    <t>Andropogon virginicus</t>
  </si>
  <si>
    <t>Arundo donax</t>
  </si>
  <si>
    <t>Axonopus sp.</t>
  </si>
  <si>
    <t>Megathyrsus maximus</t>
  </si>
  <si>
    <t>Nassella neesiana</t>
  </si>
  <si>
    <t>Nassella sp.</t>
  </si>
  <si>
    <t>Nassella trichotoma</t>
  </si>
  <si>
    <t>Stenotaphrum secundum</t>
  </si>
  <si>
    <t>andr virg</t>
  </si>
  <si>
    <t>arun dona</t>
  </si>
  <si>
    <t>x</t>
  </si>
  <si>
    <t>mega maxi</t>
  </si>
  <si>
    <t>nass nees</t>
  </si>
  <si>
    <t>nass tric</t>
  </si>
  <si>
    <t>sten secu</t>
  </si>
  <si>
    <t>FVS Spreadsheet Tool for the Brigalow Belt South IBRA region</t>
  </si>
  <si>
    <t>Plot information</t>
  </si>
  <si>
    <t>YELLOW cells return analysis values (see below)</t>
  </si>
  <si>
    <t>BLUE</t>
  </si>
  <si>
    <t>GREY</t>
  </si>
  <si>
    <t>ORANGE cells are field headings</t>
  </si>
  <si>
    <t>Information for assessment purposes only</t>
  </si>
  <si>
    <t>Special scoring for EECS (not relevant for BBS)</t>
  </si>
  <si>
    <r>
      <t>SCIENTIFIC NAMES</t>
    </r>
    <r>
      <rPr>
        <b/>
        <sz val="8"/>
        <rFont val="Arial"/>
        <family val="2"/>
      </rPr>
      <t xml:space="preserve"> - Note, native species are colour-coded according to their significance ratings; PINK cells are A species, GREEN cells are B species and WHITE cells are C species; exotic species are in RED font</t>
    </r>
  </si>
  <si>
    <r>
      <t>CODE NAMES</t>
    </r>
    <r>
      <rPr>
        <b/>
        <sz val="8"/>
        <rFont val="Arial"/>
        <family val="2"/>
      </rPr>
      <t xml:space="preserve"> - Note, most species use a 4 + 4 code; where these are not unique, or if just the genus name is recorded, or if the species has various Significance Ratings according to cover, see explanation in column G</t>
    </r>
  </si>
  <si>
    <t>eriochloa</t>
  </si>
  <si>
    <r>
      <t xml:space="preserve">Level X weeds species (significant invasive weeds and/or aggressive pasture grasses) for BBS region are: </t>
    </r>
    <r>
      <rPr>
        <sz val="12"/>
        <rFont val="Arial"/>
        <family val="2"/>
      </rPr>
      <t>Andropogon virginicus, Axonopus sp., Cenchrus ciliaris, Cenchrus incertus, Cestrum parqui, Chloris gayana, Chloris virgata, Eragrostis curvula, Heliotropium amplexicaule, Hyparrhenia hirta, Hypericum perforatum, Lycium ferocissimum, Melinis repens, Opuntia aurantiaca, Opuntia stricta, Paspalum dilatatum, Pennisetum clandestinum, Phalaris aquatica, Phyla canescens, Phyla nofiflora, Rosa rubiginosa, Rubus anglocandicans, Salvia reflexa, Senecio madagascariensis, Sorghum bicolor, Sorghum halepense, Sporobolus africanus, Stenotaphrum secundum and Vachellia farnesiana</t>
    </r>
  </si>
  <si>
    <t>Species code. Enter species codes in the grey column below. Refer to sheet Sp_score_ref for a full list.</t>
  </si>
  <si>
    <t>C/A code. Refer to the table to the left for C/A values.</t>
  </si>
  <si>
    <t>5 % - &lt;25 % cover</t>
  </si>
  <si>
    <t>25 % - &lt;50 % cover</t>
  </si>
  <si>
    <t>50 % - &lt;75 % cover</t>
  </si>
  <si>
    <t>75 or greater % cover</t>
  </si>
  <si>
    <r>
      <t xml:space="preserve">If one of the following species are present at the site in a cover of 75% or greater, add value of "1" in this box. The species are: </t>
    </r>
    <r>
      <rPr>
        <b/>
        <i/>
        <sz val="12"/>
        <rFont val="Arial"/>
        <family val="2"/>
      </rPr>
      <t xml:space="preserve">Astrebla </t>
    </r>
    <r>
      <rPr>
        <b/>
        <sz val="12"/>
        <rFont val="Arial"/>
        <family val="2"/>
      </rPr>
      <t>spp. (all species),</t>
    </r>
    <r>
      <rPr>
        <b/>
        <i/>
        <sz val="12"/>
        <rFont val="Arial"/>
        <family val="2"/>
      </rPr>
      <t xml:space="preserve"> Austrostipa aristiglumis, Cymbopogon </t>
    </r>
    <r>
      <rPr>
        <b/>
        <sz val="12"/>
        <rFont val="Arial"/>
        <family val="2"/>
      </rPr>
      <t>spp. (all species),</t>
    </r>
    <r>
      <rPr>
        <b/>
        <i/>
        <sz val="12"/>
        <rFont val="Arial"/>
        <family val="2"/>
      </rPr>
      <t xml:space="preserve"> Dichanthium sericeum, Enteropogon </t>
    </r>
    <r>
      <rPr>
        <b/>
        <sz val="12"/>
        <rFont val="Arial"/>
        <family val="2"/>
      </rPr>
      <t>spp. (all species),</t>
    </r>
    <r>
      <rPr>
        <b/>
        <i/>
        <sz val="12"/>
        <rFont val="Arial"/>
        <family val="2"/>
      </rPr>
      <t xml:space="preserve"> Microlaena stipoides, Panicum decompositum, Paspalidium jubiflorum, Poa sieberiana, Poa labillardierei, Sorghum leiocladum, Themeda </t>
    </r>
    <r>
      <rPr>
        <b/>
        <sz val="12"/>
        <rFont val="Arial"/>
        <family val="2"/>
      </rPr>
      <t xml:space="preserve">spp. (all species) or </t>
    </r>
    <r>
      <rPr>
        <b/>
        <i/>
        <sz val="12"/>
        <rFont val="Arial"/>
        <family val="2"/>
      </rPr>
      <t xml:space="preserve">Triodia mitchellii </t>
    </r>
  </si>
  <si>
    <t>If the cover of cryptogams, including the total of all mosses, lichens and soil algal crusts is less than 2%, add "0.33" in this box; if cover is between 2% and &lt; 10%, add "0.40"; and if cover is  10% or greater, add "1.00".  Note: cryptogam cover only refers to that on the soil's surface, and not that on the surface of rocks.</t>
  </si>
  <si>
    <t>pani deco (cover of less than 25%)</t>
  </si>
  <si>
    <t>poa sieb (cover of less than 25%)</t>
  </si>
  <si>
    <t>scle diva (cover of less than 25%)</t>
  </si>
  <si>
    <t>scle intr (cover of less than 25%)</t>
  </si>
  <si>
    <t>sorg leio (cover of less than 25%)</t>
  </si>
  <si>
    <t>them aust (cover of less than 25%)</t>
  </si>
  <si>
    <t>them aven (cover of less than 25%)</t>
  </si>
  <si>
    <t>astr elym (cover of less than 25%)</t>
  </si>
  <si>
    <t>astr lapp (cover of less than 25%)</t>
  </si>
  <si>
    <t>astr pect (cover of less than 25%)</t>
  </si>
  <si>
    <t>astr squa (cover of less than 25%)</t>
  </si>
  <si>
    <t>aust aris (cover of less than 25%)</t>
  </si>
  <si>
    <t>cymb refr (cover of less than 25%)</t>
  </si>
  <si>
    <t>dica seri (cover of less than 25%)</t>
  </si>
  <si>
    <t>ente acic (cover of less than 25%)</t>
  </si>
  <si>
    <t>ente ramo (cover of less than 25%)</t>
  </si>
  <si>
    <t>micr stip (cover of less than 25%)</t>
  </si>
  <si>
    <t>pasp jubi (cover of less than 25%)</t>
  </si>
  <si>
    <t>scle long (cover of less than 25%)</t>
  </si>
  <si>
    <t>trio mitc (cover of less than 25%)</t>
  </si>
  <si>
    <t>pani deco (cover of 25% or greater)</t>
  </si>
  <si>
    <t>poa sieb (cover of 25% or greater)</t>
  </si>
  <si>
    <t>scle diva (cover of 25% or greater)</t>
  </si>
  <si>
    <t>scle intr (cover of 25% or greater)</t>
  </si>
  <si>
    <t>sorg leio (cover of 25% or greater)</t>
  </si>
  <si>
    <t>them aust (cover of 25% or greater)</t>
  </si>
  <si>
    <t>them aven (cover of 25% or greater)</t>
  </si>
  <si>
    <t>astr elym (cover of 25% or greater)</t>
  </si>
  <si>
    <t>astr lapp (cover of 25% or greater)</t>
  </si>
  <si>
    <t>astr pect (cover of 25% or greater)</t>
  </si>
  <si>
    <t>astr squa (cover of 25% or greater)</t>
  </si>
  <si>
    <t>aust aris (cover of 25% or greater)</t>
  </si>
  <si>
    <t>cymb refr (cover of 25% or greater)</t>
  </si>
  <si>
    <t>dica seri (cover of 25% or greater)</t>
  </si>
  <si>
    <t>ente acic (cover of 25% or greater)</t>
  </si>
  <si>
    <t>ente ramo (cover of 25% or greater)</t>
  </si>
  <si>
    <t>micr stip (cover of 25% or greater)</t>
  </si>
  <si>
    <t>pasp jubi (cover of 25% or greater)</t>
  </si>
  <si>
    <t>scle long (cover of 25% or greater)</t>
  </si>
  <si>
    <t>trio mitc (cover of 25% or greater)</t>
  </si>
  <si>
    <t>poa labi (in drainage line; cover of less than 25%)</t>
  </si>
  <si>
    <t>poa labi (in drainage line; cover of 25% or more)</t>
  </si>
  <si>
    <t>Panicum decompositum (cover of less than 25%; C/A score of 4 or lower)</t>
  </si>
  <si>
    <t>Poa labillardierei (cover of less than 25%; C/A score of 4 or lower)</t>
  </si>
  <si>
    <t>Poa sieberiana (cover of less than 25%; C/A score of 4 or lower)</t>
  </si>
  <si>
    <t>Sclerolaena divaricata (cover of less than 25%; C/A score of 4 or lower)</t>
  </si>
  <si>
    <t>Sclerolaena intricata (cover of less than 25%; C/A score of 4 or lower)</t>
  </si>
  <si>
    <t>Sorghum leiocladum (cover of less than 25%; C/A score of 4 or lower)</t>
  </si>
  <si>
    <t>Themeda australis (cover of less than 25%; C/A score of 4 or lower)</t>
  </si>
  <si>
    <t>Themeda avenacea (cover of less than 25%; C/A score of 4 or lower)</t>
  </si>
  <si>
    <t>Astrebla elymoides (cover of less than 25%; C/A score of 4 or lower)</t>
  </si>
  <si>
    <t>Astrebla lappacea (cover of less than 25%; C/A score of 4 or lower)</t>
  </si>
  <si>
    <t>Astrebla pectinata (cover of less than 25%; C/A score of 4 or lower)</t>
  </si>
  <si>
    <t>Astrebla squarrosa (cover of less than 25%; C/A score of 4 or lower)</t>
  </si>
  <si>
    <t>Austrostipa aristiglumis (cover of less than 25%; C/A score of 4 or lower)</t>
  </si>
  <si>
    <t>Cymbopogon refractus (cover of less than 25%; C/A score of 4 or lower)</t>
  </si>
  <si>
    <t>Dichanthium sericeum (cover of less than 25%; C/A score of 4 or lower)</t>
  </si>
  <si>
    <t>Enteropogon acicularis (cover of less than 25%; C/A score of 4 or lower)</t>
  </si>
  <si>
    <t>Enteropogon ramosus (cover of less than 25%; C/A score of 4 or lower)</t>
  </si>
  <si>
    <t>Microlaena stipoides (cover of less than 25%; C/A score of 4 or lower)</t>
  </si>
  <si>
    <t>Paspalidium jubiflorum (cover of less than 25%; C/A score of 4 or lower)</t>
  </si>
  <si>
    <t>Sclerolaena longicuspis (cover of less than 25%; C/A score of 4 or lower)</t>
  </si>
  <si>
    <t>Triodia mitchellii (cover of less than 25%; C/A score of 4 or lower)</t>
  </si>
  <si>
    <t>Panicum decompositum (cover of 25% or greater; C/A score of 5 or higher)</t>
  </si>
  <si>
    <t>Poa labillardierei (cover of 25% or greater; C/A score of 5 or higher)</t>
  </si>
  <si>
    <t>Poa sieberiana (cover of 25% or greater; C/A score of 5 or higher)</t>
  </si>
  <si>
    <t>Sclerolaena divaricata (cover of 25% or greater; C/A score of 5 or higher)</t>
  </si>
  <si>
    <t>Sclerolaena intricata (cover of 25% or greater; C/A score of 5 or higher)</t>
  </si>
  <si>
    <t>Themeda australis (cover of 25% or greater; C/A score of 5 or higher)</t>
  </si>
  <si>
    <t>Themeda avenacea (cover of 25% or greater; C/A score of 5 or higher)</t>
  </si>
  <si>
    <t>Astrebla elymoides (cover of 25% or greater; C/A score of 5 or higher)</t>
  </si>
  <si>
    <t>Astrebla lappacea (cover of 25% or greater; C/A score of 5 or higher)</t>
  </si>
  <si>
    <t>Astrebla pectinata (cover of 25% or greater; C/A score of 5 or higher)</t>
  </si>
  <si>
    <t>Astrebla squarrosa (cover of 25% or greater; C/A score of 5 or higher)</t>
  </si>
  <si>
    <t>Austrostipa aristiglumis (cover of 25% or greater; C/A score of 5 or higher)</t>
  </si>
  <si>
    <t>Cymbopogon refractus (cover of 25% or greater; C/A score of 5 or higher)</t>
  </si>
  <si>
    <t>Dichanthium sericeum (cover of 25% or greater; C/A score of 5 or higher)</t>
  </si>
  <si>
    <t>Enteropogon acicularis (cover of 25% or greater; C/A score of 5 or higher)</t>
  </si>
  <si>
    <t>Enteropogon ramosus (cover of 25% or greater; C/A score of 5 or higher)</t>
  </si>
  <si>
    <t>Microlaena stipoides (cover of 25% or greater; C/A score of 5 or higher)</t>
  </si>
  <si>
    <t>Paspalidium jubiflorum (cover of 25% or greater; C/A score of 5 or higher)</t>
  </si>
  <si>
    <t>Sclerolaena longicuspis (cover of 25% or greater; C/A score of 5 or higher)</t>
  </si>
  <si>
    <t>Sorghum leiocladum (cover of 25% or greater; C/A score of 5 or higher)</t>
  </si>
  <si>
    <t>Triodia mitchellii (cover of 25% or greater; C/A score of 5 or higher)</t>
  </si>
  <si>
    <t>Cuscuta campestris</t>
  </si>
  <si>
    <t>Astragalus hamosus</t>
  </si>
  <si>
    <t xml:space="preserve">If entering additional species into this spreadsheet (i.e., species that don't appear in the column to the left, on THIS page), then select a row within the body of the list and enter rows above the selection, as required. Each new species should have a significance rating assigned to it; expert advice may be required to assign significance ratings.  </t>
  </si>
  <si>
    <t>. If only genus given, then in many cases, they can be entered as just the genus name, thus: "swainsona" for "Swainsona sp.", but only if the Significance Ratings are uniform across the genus</t>
  </si>
  <si>
    <t>olea sp aff elli</t>
  </si>
  <si>
    <t>teuc spA</t>
  </si>
  <si>
    <t>abutilon</t>
  </si>
  <si>
    <t>acacia</t>
  </si>
  <si>
    <t>acaena</t>
  </si>
  <si>
    <t>aira</t>
  </si>
  <si>
    <t>Aira sp.</t>
  </si>
  <si>
    <t>Allocasuarina</t>
  </si>
  <si>
    <t>alternanthera</t>
  </si>
  <si>
    <t>ampbibromus</t>
  </si>
  <si>
    <t>amyema</t>
  </si>
  <si>
    <t>aphanes</t>
  </si>
  <si>
    <t>aristida</t>
  </si>
  <si>
    <t>arthropodium</t>
  </si>
  <si>
    <t>asperula</t>
  </si>
  <si>
    <t>atripelx</t>
  </si>
  <si>
    <t>austrostipa</t>
  </si>
  <si>
    <t>avena</t>
  </si>
  <si>
    <t>axonopus</t>
  </si>
  <si>
    <t>boerhavia</t>
  </si>
  <si>
    <t>bossiaea</t>
  </si>
  <si>
    <t>bothriochloa</t>
  </si>
  <si>
    <t>brachyscome</t>
  </si>
  <si>
    <t>briza</t>
  </si>
  <si>
    <t>bromus</t>
  </si>
  <si>
    <t>bulbine</t>
  </si>
  <si>
    <t>caesia</t>
  </si>
  <si>
    <t>calandrinia</t>
  </si>
  <si>
    <t>calotis</t>
  </si>
  <si>
    <t>carex</t>
  </si>
  <si>
    <t>chamaecyse</t>
  </si>
  <si>
    <t>cheilanthes</t>
  </si>
  <si>
    <t>chenopodium</t>
  </si>
  <si>
    <t>chloris</t>
  </si>
  <si>
    <t>chrysocephalum</t>
  </si>
  <si>
    <t>convolvulus</t>
  </si>
  <si>
    <t>conyza</t>
  </si>
  <si>
    <t>Conyza sp.</t>
  </si>
  <si>
    <t>craspedia</t>
  </si>
  <si>
    <t>crassula</t>
  </si>
  <si>
    <t>cynoglossum</t>
  </si>
  <si>
    <t>cyperus</t>
  </si>
  <si>
    <t>dampiera</t>
  </si>
  <si>
    <t>daviesia</t>
  </si>
  <si>
    <t>desmodium</t>
  </si>
  <si>
    <t>deyeuxia</t>
  </si>
  <si>
    <t>dianella</t>
  </si>
  <si>
    <t>digitaria</t>
  </si>
  <si>
    <t>Digitaria sp.</t>
  </si>
  <si>
    <t>dillwynia</t>
  </si>
  <si>
    <t>diuris</t>
  </si>
  <si>
    <t>dodonaea</t>
  </si>
  <si>
    <t>dorsera</t>
  </si>
  <si>
    <t>einadia</t>
  </si>
  <si>
    <t>enneapogon</t>
  </si>
  <si>
    <t>epilobium</t>
  </si>
  <si>
    <t>eragrostis</t>
  </si>
  <si>
    <t>Eragrostis sp.</t>
  </si>
  <si>
    <t>eremophila</t>
  </si>
  <si>
    <t>eucalyptus</t>
  </si>
  <si>
    <t>euchiton</t>
  </si>
  <si>
    <t>galium</t>
  </si>
  <si>
    <t>gamochaeta</t>
  </si>
  <si>
    <t>Gamochaeta sp.</t>
  </si>
  <si>
    <t>genoplesium</t>
  </si>
  <si>
    <t>geranium</t>
  </si>
  <si>
    <t>Geranium sp.</t>
  </si>
  <si>
    <t>glycine</t>
  </si>
  <si>
    <t>gnaphalium</t>
  </si>
  <si>
    <t>goodenia</t>
  </si>
  <si>
    <t>haloragis</t>
  </si>
  <si>
    <t>hibbertia</t>
  </si>
  <si>
    <t>hydrocotyle</t>
  </si>
  <si>
    <t>isolepis</t>
  </si>
  <si>
    <t>Isolepis sp.</t>
  </si>
  <si>
    <t>juncus</t>
  </si>
  <si>
    <t>Juncus sp.</t>
  </si>
  <si>
    <t>lachnagrostis</t>
  </si>
  <si>
    <t>lact sali</t>
  </si>
  <si>
    <t>lagenophora</t>
  </si>
  <si>
    <t>leiocarpa</t>
  </si>
  <si>
    <t>lepidium</t>
  </si>
  <si>
    <t>leucopogon</t>
  </si>
  <si>
    <t>linum</t>
  </si>
  <si>
    <t>lolium</t>
  </si>
  <si>
    <t>lomandra</t>
  </si>
  <si>
    <t>luzula</t>
  </si>
  <si>
    <t>maireana</t>
  </si>
  <si>
    <t>marsilea</t>
  </si>
  <si>
    <t>medicago</t>
  </si>
  <si>
    <t>myoporum</t>
  </si>
  <si>
    <t>nassella</t>
  </si>
  <si>
    <t>notelaea</t>
  </si>
  <si>
    <t>oenonathera</t>
  </si>
  <si>
    <t>opercularia</t>
  </si>
  <si>
    <t>oxalis</t>
  </si>
  <si>
    <t>Oxalis sp.</t>
  </si>
  <si>
    <t>panicum</t>
  </si>
  <si>
    <t>paspalidium</t>
  </si>
  <si>
    <t>persicaria</t>
  </si>
  <si>
    <t>phyllanthus</t>
  </si>
  <si>
    <t>pimelea</t>
  </si>
  <si>
    <t>plantago</t>
  </si>
  <si>
    <t>poa</t>
  </si>
  <si>
    <t>podolepis</t>
  </si>
  <si>
    <t>pomaderris</t>
  </si>
  <si>
    <t>prasophyllum</t>
  </si>
  <si>
    <t>pratia</t>
  </si>
  <si>
    <t>prunus</t>
  </si>
  <si>
    <t>psydrax</t>
  </si>
  <si>
    <t>pterostylis</t>
  </si>
  <si>
    <t>ptilotus</t>
  </si>
  <si>
    <t>pultenaea</t>
  </si>
  <si>
    <t>pycnosorus</t>
  </si>
  <si>
    <t>ranunculus</t>
  </si>
  <si>
    <t>rhodanthe</t>
  </si>
  <si>
    <t>rumex</t>
  </si>
  <si>
    <t>Rumex sp.</t>
  </si>
  <si>
    <t>rhytidosperma</t>
  </si>
  <si>
    <t>schoenoplectus</t>
  </si>
  <si>
    <t>scirpus</t>
  </si>
  <si>
    <t>sclerolaeba</t>
  </si>
  <si>
    <t>senecio</t>
  </si>
  <si>
    <t>setaria</t>
  </si>
  <si>
    <t>sida</t>
  </si>
  <si>
    <t>solanum</t>
  </si>
  <si>
    <t>sporobolus</t>
  </si>
  <si>
    <t>stellaria</t>
  </si>
  <si>
    <t>stuartina</t>
  </si>
  <si>
    <t>stylidium</t>
  </si>
  <si>
    <t>swainsona</t>
  </si>
  <si>
    <t>thysanotus</t>
  </si>
  <si>
    <t>tragopogon</t>
  </si>
  <si>
    <t>tribulus</t>
  </si>
  <si>
    <t>trifolium</t>
  </si>
  <si>
    <t>urochloa</t>
  </si>
  <si>
    <t>urtica</t>
  </si>
  <si>
    <t>verbascum</t>
  </si>
  <si>
    <t>verbena</t>
  </si>
  <si>
    <t>veronica</t>
  </si>
  <si>
    <t>vicia</t>
  </si>
  <si>
    <t>vittadinia</t>
  </si>
  <si>
    <t>vulpia</t>
  </si>
  <si>
    <t>wahlenbergia</t>
  </si>
  <si>
    <t>wurmbea</t>
  </si>
  <si>
    <t>. If they are dominant grasses or shrubs with variable scoring (i.e., different scores according to differences in cover values: less than 25% (C/A score of 4 or less) vs cover of 25% or greater (C/A score of 5 or more); see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</si>
</sst>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8"/>
      <name val="Arial"/>
      <family val="2"/>
    </font>
    <font>
      <sz val="10"/>
      <name val="Arial"/>
      <family val="2"/>
    </font>
    <font>
      <b/>
      <sz val="10"/>
      <name val="Arial"/>
      <family val="2"/>
    </font>
    <font>
      <sz val="10"/>
      <color indexed="10"/>
      <name val="Arial"/>
      <family val="2"/>
    </font>
    <font>
      <sz val="10"/>
      <color indexed="12"/>
      <name val="Arial"/>
      <family val="2"/>
    </font>
    <font>
      <b/>
      <sz val="11"/>
      <name val="Arial"/>
      <family val="2"/>
    </font>
    <font>
      <sz val="11"/>
      <name val="Arial"/>
      <family val="2"/>
    </font>
    <font>
      <sz val="10"/>
      <color indexed="9"/>
      <name val="Arial"/>
      <family val="2"/>
    </font>
    <font>
      <b/>
      <sz val="10"/>
      <color indexed="9"/>
      <name val="Arial"/>
      <family val="2"/>
    </font>
    <font>
      <b/>
      <sz val="12"/>
      <name val="Arial"/>
      <family val="2"/>
    </font>
    <font>
      <b/>
      <i/>
      <sz val="12"/>
      <name val="Arial"/>
      <family val="2"/>
    </font>
    <font>
      <sz val="12"/>
      <name val="Arial"/>
      <family val="2"/>
    </font>
    <font>
      <sz val="12"/>
      <color indexed="9"/>
      <name val="Arial"/>
      <family val="2"/>
    </font>
    <font>
      <i/>
      <sz val="10"/>
      <name val="Arial"/>
      <family val="2"/>
    </font>
    <font>
      <sz val="10"/>
      <color indexed="8"/>
      <name val="Arial"/>
      <family val="2"/>
    </font>
    <font>
      <b/>
      <sz val="10"/>
      <color indexed="10"/>
      <name val="Arial"/>
      <family val="2"/>
    </font>
    <font>
      <b/>
      <sz val="8"/>
      <name val="Arial"/>
      <family val="2"/>
    </font>
    <font>
      <b/>
      <sz val="20"/>
      <name val="Arial"/>
      <family val="2"/>
    </font>
    <font>
      <b/>
      <sz val="11"/>
      <color theme="1"/>
      <name val="Calibri"/>
      <family val="2"/>
      <scheme val="minor"/>
    </font>
    <font>
      <sz val="11"/>
      <color rgb="FFFF0000"/>
      <name val="Calibri"/>
      <family val="2"/>
      <scheme val="minor"/>
    </font>
    <font>
      <sz val="10"/>
      <color rgb="FFFF0000"/>
      <name val="Arial"/>
      <family val="2"/>
    </font>
    <font>
      <sz val="10"/>
      <color theme="0"/>
      <name val="Arial"/>
      <family val="2"/>
    </font>
  </fonts>
  <fills count="13">
    <fill>
      <patternFill patternType="none"/>
    </fill>
    <fill>
      <patternFill patternType="gray125"/>
    </fill>
    <fill>
      <patternFill patternType="solid">
        <fgColor indexed="51"/>
        <bgColor indexed="64"/>
      </patternFill>
    </fill>
    <fill>
      <patternFill patternType="solid">
        <fgColor indexed="13"/>
        <bgColor indexed="64"/>
      </patternFill>
    </fill>
    <fill>
      <patternFill patternType="solid">
        <fgColor indexed="1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s>
  <borders count="29">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215">
    <xf numFmtId="0" fontId="0" fillId="0" borderId="0" xfId="0"/>
    <xf numFmtId="0" fontId="3" fillId="0" borderId="0" xfId="0" applyFont="1"/>
    <xf numFmtId="0" fontId="2" fillId="0" borderId="0" xfId="0" applyFont="1"/>
    <xf numFmtId="0" fontId="2" fillId="0" borderId="0" xfId="0" applyFont="1" applyFill="1" applyBorder="1"/>
    <xf numFmtId="0" fontId="0" fillId="0" borderId="1" xfId="0" applyBorder="1"/>
    <xf numFmtId="0" fontId="0" fillId="0" borderId="2" xfId="0" applyBorder="1"/>
    <xf numFmtId="0" fontId="3" fillId="0" borderId="0" xfId="0" applyFont="1" applyAlignment="1">
      <alignmen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right" vertical="center"/>
    </xf>
    <xf numFmtId="0" fontId="3" fillId="3" borderId="5" xfId="0" applyFont="1" applyFill="1" applyBorder="1" applyAlignment="1">
      <alignment horizontal="center" vertical="center"/>
    </xf>
    <xf numFmtId="0" fontId="3" fillId="2" borderId="6" xfId="0" applyFont="1" applyFill="1" applyBorder="1" applyAlignment="1">
      <alignment horizontal="right" vertical="center"/>
    </xf>
    <xf numFmtId="0" fontId="3" fillId="3" borderId="7" xfId="0" applyFont="1" applyFill="1" applyBorder="1" applyAlignment="1">
      <alignment horizontal="center" vertical="center"/>
    </xf>
    <xf numFmtId="0" fontId="3" fillId="2" borderId="8" xfId="0" applyFont="1" applyFill="1" applyBorder="1" applyAlignment="1">
      <alignment horizontal="right" vertical="center"/>
    </xf>
    <xf numFmtId="0" fontId="3" fillId="3" borderId="9" xfId="0" applyFont="1" applyFill="1" applyBorder="1" applyAlignment="1">
      <alignment horizontal="center" vertical="center"/>
    </xf>
    <xf numFmtId="0" fontId="8" fillId="0" borderId="0" xfId="0" applyFont="1" applyFill="1"/>
    <xf numFmtId="0" fontId="9" fillId="0" borderId="0" xfId="0" applyFont="1" applyFill="1" applyAlignment="1">
      <alignment vertical="top" wrapText="1"/>
    </xf>
    <xf numFmtId="0" fontId="9" fillId="0" borderId="0" xfId="0" applyFont="1" applyFill="1"/>
    <xf numFmtId="0" fontId="3" fillId="0" borderId="0" xfId="0" applyFont="1" applyAlignment="1">
      <alignment horizontal="center"/>
    </xf>
    <xf numFmtId="0" fontId="3" fillId="0" borderId="0" xfId="0" applyFont="1" applyFill="1" applyAlignment="1">
      <alignment horizontal="center"/>
    </xf>
    <xf numFmtId="0" fontId="2" fillId="0" borderId="0" xfId="0" applyFont="1" applyFill="1" applyAlignment="1">
      <alignment horizontal="center"/>
    </xf>
    <xf numFmtId="0" fontId="2" fillId="0" borderId="0" xfId="0" applyFont="1" applyFill="1" applyBorder="1" applyAlignment="1">
      <alignment horizontal="center"/>
    </xf>
    <xf numFmtId="0" fontId="0" fillId="0" borderId="0" xfId="0" applyAlignment="1">
      <alignment horizontal="center"/>
    </xf>
    <xf numFmtId="0" fontId="2" fillId="0" borderId="0" xfId="0" applyFont="1" applyAlignment="1">
      <alignment horizontal="center"/>
    </xf>
    <xf numFmtId="0" fontId="3" fillId="2" borderId="3" xfId="0" applyFont="1" applyFill="1" applyBorder="1" applyAlignment="1">
      <alignment horizontal="right" vertical="top" wrapText="1"/>
    </xf>
    <xf numFmtId="0" fontId="2" fillId="0" borderId="10" xfId="0" applyFont="1" applyFill="1" applyBorder="1" applyAlignment="1">
      <alignment horizontal="center"/>
    </xf>
    <xf numFmtId="14" fontId="3" fillId="4" borderId="3" xfId="0" applyNumberFormat="1" applyFont="1" applyFill="1" applyBorder="1"/>
    <xf numFmtId="0" fontId="3" fillId="0" borderId="11" xfId="0" applyFont="1" applyBorder="1" applyAlignment="1">
      <alignment horizontal="center"/>
    </xf>
    <xf numFmtId="0" fontId="12" fillId="0" borderId="0" xfId="0" applyFont="1" applyAlignment="1">
      <alignment vertical="center"/>
    </xf>
    <xf numFmtId="0" fontId="10" fillId="4" borderId="3"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3" fillId="0" borderId="0" xfId="0" applyFont="1" applyFill="1" applyAlignment="1">
      <alignment vertical="center"/>
    </xf>
    <xf numFmtId="0" fontId="2" fillId="5" borderId="12" xfId="0" applyFont="1" applyFill="1" applyBorder="1"/>
    <xf numFmtId="0" fontId="2" fillId="5" borderId="11" xfId="0" applyFont="1" applyFill="1" applyBorder="1"/>
    <xf numFmtId="0" fontId="2" fillId="5" borderId="13" xfId="0" applyFont="1" applyFill="1" applyBorder="1"/>
    <xf numFmtId="0" fontId="2" fillId="0" borderId="0" xfId="0" applyFont="1" applyFill="1"/>
    <xf numFmtId="0" fontId="12" fillId="0" borderId="0" xfId="0" applyFont="1"/>
    <xf numFmtId="0" fontId="12" fillId="0" borderId="0" xfId="0" applyFont="1" applyAlignment="1">
      <alignment horizontal="center"/>
    </xf>
    <xf numFmtId="0" fontId="10" fillId="0" borderId="0" xfId="0" applyFont="1" applyFill="1" applyBorder="1" applyAlignment="1">
      <alignment horizontal="center"/>
    </xf>
    <xf numFmtId="0" fontId="10" fillId="0" borderId="0" xfId="0" applyFont="1" applyAlignment="1">
      <alignment horizontal="right" vertical="center"/>
    </xf>
    <xf numFmtId="0" fontId="10" fillId="5" borderId="3"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6" borderId="3" xfId="0" applyFont="1" applyFill="1" applyBorder="1" applyAlignment="1">
      <alignment horizontal="center" vertical="center" wrapText="1"/>
    </xf>
    <xf numFmtId="0" fontId="3" fillId="6" borderId="3" xfId="0" applyFont="1" applyFill="1" applyBorder="1" applyAlignment="1">
      <alignment horizontal="center"/>
    </xf>
    <xf numFmtId="2" fontId="3" fillId="6" borderId="3" xfId="0" applyNumberFormat="1" applyFont="1" applyFill="1" applyBorder="1" applyAlignment="1">
      <alignment horizont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9" fillId="7" borderId="14" xfId="0" applyFont="1" applyFill="1" applyBorder="1" applyAlignment="1">
      <alignment horizontal="center" vertical="center"/>
    </xf>
    <xf numFmtId="0" fontId="19" fillId="7" borderId="15" xfId="0" applyFont="1" applyFill="1" applyBorder="1" applyAlignment="1">
      <alignment horizontal="center" vertical="center"/>
    </xf>
    <xf numFmtId="0" fontId="19" fillId="7" borderId="16" xfId="0" applyFont="1" applyFill="1" applyBorder="1" applyAlignment="1">
      <alignment horizontal="center" vertical="center"/>
    </xf>
    <xf numFmtId="0" fontId="0" fillId="7" borderId="6" xfId="0" applyFill="1" applyBorder="1" applyAlignment="1">
      <alignment horizontal="center"/>
    </xf>
    <xf numFmtId="0" fontId="0" fillId="7" borderId="8" xfId="0" applyFill="1" applyBorder="1" applyAlignment="1">
      <alignment horizontal="center"/>
    </xf>
    <xf numFmtId="2" fontId="10" fillId="3" borderId="3" xfId="0" applyNumberFormat="1" applyFont="1" applyFill="1" applyBorder="1" applyAlignment="1">
      <alignment horizontal="center" vertical="center"/>
    </xf>
    <xf numFmtId="0" fontId="2" fillId="5" borderId="10" xfId="0" applyFont="1" applyFill="1" applyBorder="1" applyAlignment="1">
      <alignment horizontal="center"/>
    </xf>
    <xf numFmtId="0" fontId="2" fillId="5" borderId="0" xfId="0" applyFont="1" applyFill="1" applyBorder="1" applyAlignment="1">
      <alignment horizontal="center"/>
    </xf>
    <xf numFmtId="0" fontId="2" fillId="5" borderId="17" xfId="0" applyFont="1" applyFill="1" applyBorder="1" applyAlignment="1">
      <alignment horizontal="center"/>
    </xf>
    <xf numFmtId="2" fontId="3" fillId="7" borderId="18" xfId="0" applyNumberFormat="1" applyFont="1" applyFill="1" applyBorder="1" applyAlignment="1">
      <alignment horizontal="center"/>
    </xf>
    <xf numFmtId="2" fontId="3" fillId="7" borderId="7" xfId="0" applyNumberFormat="1" applyFont="1" applyFill="1" applyBorder="1" applyAlignment="1">
      <alignment horizontal="center"/>
    </xf>
    <xf numFmtId="2" fontId="3" fillId="7" borderId="19" xfId="0" applyNumberFormat="1" applyFont="1" applyFill="1" applyBorder="1" applyAlignment="1">
      <alignment horizontal="center"/>
    </xf>
    <xf numFmtId="2" fontId="3" fillId="7" borderId="9" xfId="0" applyNumberFormat="1" applyFont="1" applyFill="1" applyBorder="1" applyAlignment="1">
      <alignment horizontal="center"/>
    </xf>
    <xf numFmtId="0" fontId="3" fillId="0" borderId="3" xfId="0" applyFont="1" applyBorder="1" applyAlignment="1">
      <alignment horizontal="center" vertical="center"/>
    </xf>
    <xf numFmtId="0" fontId="3" fillId="0" borderId="0" xfId="0" applyFont="1" applyAlignment="1">
      <alignment vertical="center"/>
    </xf>
    <xf numFmtId="0" fontId="4" fillId="0" borderId="0" xfId="0" applyFont="1" applyFill="1" applyBorder="1"/>
    <xf numFmtId="0" fontId="2" fillId="0" borderId="17" xfId="0" applyFont="1" applyFill="1" applyBorder="1"/>
    <xf numFmtId="0" fontId="2" fillId="0" borderId="20" xfId="0" applyFont="1" applyFill="1" applyBorder="1"/>
    <xf numFmtId="0" fontId="4" fillId="0" borderId="0" xfId="0" applyFont="1" applyFill="1"/>
    <xf numFmtId="0" fontId="5" fillId="0" borderId="0" xfId="0" applyFont="1" applyFill="1"/>
    <xf numFmtId="0" fontId="2" fillId="8" borderId="0" xfId="0" applyFont="1" applyFill="1"/>
    <xf numFmtId="0" fontId="2" fillId="8" borderId="0" xfId="0" applyFont="1" applyFill="1" applyBorder="1"/>
    <xf numFmtId="0" fontId="3" fillId="0" borderId="12" xfId="0" applyFont="1" applyBorder="1" applyAlignment="1">
      <alignment horizontal="center"/>
    </xf>
    <xf numFmtId="0" fontId="0" fillId="0" borderId="21" xfId="0" applyBorder="1"/>
    <xf numFmtId="0" fontId="3" fillId="0" borderId="13" xfId="0" applyFont="1" applyBorder="1" applyAlignment="1">
      <alignment horizontal="center"/>
    </xf>
    <xf numFmtId="0" fontId="4" fillId="0" borderId="0" xfId="0" applyFont="1" applyBorder="1"/>
    <xf numFmtId="0" fontId="21" fillId="0" borderId="0" xfId="0" applyFont="1"/>
    <xf numFmtId="0" fontId="4" fillId="0" borderId="0" xfId="0" applyFont="1"/>
    <xf numFmtId="0" fontId="2" fillId="9" borderId="0" xfId="0" applyFont="1" applyFill="1"/>
    <xf numFmtId="0" fontId="15" fillId="0" borderId="0" xfId="0" applyFont="1" applyFill="1"/>
    <xf numFmtId="0" fontId="2" fillId="9" borderId="0" xfId="0" applyFont="1" applyFill="1" applyBorder="1"/>
    <xf numFmtId="0" fontId="4" fillId="0" borderId="0" xfId="0" applyFont="1" applyAlignment="1"/>
    <xf numFmtId="0" fontId="0" fillId="9" borderId="0" xfId="0" applyFill="1"/>
    <xf numFmtId="0" fontId="2" fillId="0" borderId="0" xfId="0" applyFont="1" applyBorder="1"/>
    <xf numFmtId="0" fontId="2" fillId="0" borderId="0" xfId="0" applyFont="1" applyAlignment="1"/>
    <xf numFmtId="0" fontId="20" fillId="0" borderId="0" xfId="0" applyFont="1"/>
    <xf numFmtId="0" fontId="2" fillId="9" borderId="0" xfId="0" applyFont="1" applyFill="1" applyAlignment="1"/>
    <xf numFmtId="0" fontId="15" fillId="9" borderId="0" xfId="0" applyFont="1" applyFill="1"/>
    <xf numFmtId="0" fontId="15" fillId="0" borderId="0" xfId="0" applyFont="1"/>
    <xf numFmtId="0" fontId="15" fillId="0" borderId="0" xfId="0" applyFont="1" applyAlignment="1"/>
    <xf numFmtId="0" fontId="2" fillId="9" borderId="0" xfId="0" applyFont="1" applyFill="1" applyBorder="1" applyAlignment="1">
      <alignment horizontal="left"/>
    </xf>
    <xf numFmtId="0" fontId="2" fillId="8" borderId="0" xfId="0" applyFont="1" applyFill="1" applyAlignment="1"/>
    <xf numFmtId="0" fontId="15" fillId="8" borderId="0" xfId="0" applyFont="1" applyFill="1"/>
    <xf numFmtId="0" fontId="21" fillId="0" borderId="0" xfId="0" applyFont="1" applyFill="1" applyBorder="1"/>
    <xf numFmtId="0" fontId="3" fillId="2" borderId="3" xfId="0" applyFont="1" applyFill="1" applyBorder="1" applyAlignment="1">
      <alignment horizontal="right" vertical="center"/>
    </xf>
    <xf numFmtId="2" fontId="3" fillId="3" borderId="22" xfId="0" applyNumberFormat="1" applyFont="1" applyFill="1" applyBorder="1" applyAlignment="1">
      <alignment horizontal="center" vertical="center"/>
    </xf>
    <xf numFmtId="0" fontId="3" fillId="7" borderId="3" xfId="0" applyFont="1" applyFill="1" applyBorder="1" applyAlignment="1">
      <alignment horizontal="center" vertical="center" wrapText="1"/>
    </xf>
    <xf numFmtId="0" fontId="3" fillId="7" borderId="3" xfId="0" applyFont="1" applyFill="1" applyBorder="1" applyAlignment="1">
      <alignment horizontal="center"/>
    </xf>
    <xf numFmtId="0" fontId="19" fillId="7" borderId="14" xfId="0" applyFont="1" applyFill="1" applyBorder="1" applyAlignment="1">
      <alignment horizontal="center" vertical="center" wrapText="1"/>
    </xf>
    <xf numFmtId="0" fontId="21" fillId="0" borderId="0" xfId="0" applyFont="1" applyBorder="1"/>
    <xf numFmtId="0" fontId="3" fillId="4" borderId="3" xfId="0" applyFont="1" applyFill="1" applyBorder="1" applyAlignment="1">
      <alignment horizontal="center" vertical="top" wrapText="1"/>
    </xf>
    <xf numFmtId="0" fontId="3" fillId="4" borderId="3" xfId="0" applyFont="1" applyFill="1" applyBorder="1" applyAlignment="1">
      <alignment vertical="top" wrapText="1"/>
    </xf>
    <xf numFmtId="0" fontId="17" fillId="2" borderId="3" xfId="0" applyFont="1" applyFill="1" applyBorder="1" applyAlignment="1">
      <alignment horizontal="right" vertical="top" wrapText="1"/>
    </xf>
    <xf numFmtId="0" fontId="3" fillId="3" borderId="22" xfId="0" applyFont="1" applyFill="1" applyBorder="1" applyAlignment="1">
      <alignment horizontal="center" vertical="center"/>
    </xf>
    <xf numFmtId="0" fontId="3" fillId="2" borderId="23" xfId="0" applyFont="1" applyFill="1" applyBorder="1" applyAlignment="1">
      <alignment horizontal="right" vertical="center"/>
    </xf>
    <xf numFmtId="0" fontId="3" fillId="2" borderId="3" xfId="0" applyFont="1" applyFill="1" applyBorder="1" applyAlignment="1">
      <alignment horizontal="right" vertical="center" wrapText="1"/>
    </xf>
    <xf numFmtId="0" fontId="7" fillId="10" borderId="0" xfId="0" applyFont="1" applyFill="1" applyBorder="1" applyAlignment="1">
      <alignment vertical="center"/>
    </xf>
    <xf numFmtId="0" fontId="2" fillId="10" borderId="24" xfId="0" applyFont="1" applyFill="1" applyBorder="1" applyAlignment="1">
      <alignment horizontal="center"/>
    </xf>
    <xf numFmtId="0" fontId="7" fillId="10" borderId="17" xfId="0" applyFont="1" applyFill="1" applyBorder="1" applyAlignment="1">
      <alignment vertical="center"/>
    </xf>
    <xf numFmtId="0" fontId="2" fillId="10" borderId="20" xfId="0" applyFont="1" applyFill="1" applyBorder="1" applyAlignment="1">
      <alignment horizontal="center"/>
    </xf>
    <xf numFmtId="0" fontId="6" fillId="10" borderId="12" xfId="0" applyFont="1" applyFill="1" applyBorder="1" applyAlignment="1">
      <alignment horizontal="center" vertical="center"/>
    </xf>
    <xf numFmtId="0" fontId="6" fillId="10" borderId="11" xfId="0" applyFont="1" applyFill="1" applyBorder="1" applyAlignment="1">
      <alignment horizontal="center" vertical="center"/>
    </xf>
    <xf numFmtId="0" fontId="6" fillId="10" borderId="13" xfId="0" applyFont="1" applyFill="1" applyBorder="1" applyAlignment="1">
      <alignment horizontal="center" vertical="center"/>
    </xf>
    <xf numFmtId="0" fontId="3" fillId="11" borderId="3" xfId="0" applyFont="1" applyFill="1" applyBorder="1" applyAlignment="1">
      <alignment horizontal="center" vertical="center" wrapText="1"/>
    </xf>
    <xf numFmtId="0" fontId="2" fillId="10" borderId="2" xfId="0" applyFont="1" applyFill="1" applyBorder="1"/>
    <xf numFmtId="0" fontId="2" fillId="10" borderId="21" xfId="0" applyFont="1" applyFill="1" applyBorder="1"/>
    <xf numFmtId="0" fontId="22" fillId="0" borderId="0" xfId="0" applyFont="1" applyFill="1"/>
    <xf numFmtId="0" fontId="22" fillId="0" borderId="0" xfId="0" applyFont="1" applyFill="1" applyAlignment="1">
      <alignment horizontal="center"/>
    </xf>
    <xf numFmtId="0" fontId="2" fillId="10" borderId="2" xfId="0" applyFont="1" applyFill="1" applyBorder="1" applyAlignment="1">
      <alignment horizontal="center"/>
    </xf>
    <xf numFmtId="0" fontId="2" fillId="10" borderId="0" xfId="0" applyFont="1" applyFill="1" applyBorder="1" applyAlignment="1">
      <alignment horizontal="center"/>
    </xf>
    <xf numFmtId="0" fontId="2" fillId="10" borderId="24" xfId="0" applyFont="1" applyFill="1" applyBorder="1" applyAlignment="1">
      <alignment horizontal="center"/>
    </xf>
    <xf numFmtId="0" fontId="1" fillId="10" borderId="2" xfId="0" applyFont="1" applyFill="1" applyBorder="1" applyAlignment="1">
      <alignment vertical="top"/>
    </xf>
    <xf numFmtId="0" fontId="3" fillId="7"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10" xfId="0" applyFont="1" applyFill="1" applyBorder="1" applyAlignment="1">
      <alignment horizontal="center" vertical="center" wrapText="1"/>
    </xf>
    <xf numFmtId="0" fontId="3" fillId="12" borderId="28" xfId="0" applyFont="1" applyFill="1" applyBorder="1" applyAlignment="1">
      <alignment horizontal="center" vertical="center" wrapText="1"/>
    </xf>
    <xf numFmtId="0" fontId="3" fillId="12" borderId="21"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2" borderId="20"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1" xfId="0" applyFont="1" applyFill="1" applyBorder="1" applyAlignment="1">
      <alignment horizontal="center" vertical="center"/>
    </xf>
    <xf numFmtId="0" fontId="3" fillId="7" borderId="17" xfId="0" applyFont="1" applyFill="1" applyBorder="1" applyAlignment="1">
      <alignment horizontal="center" vertical="center"/>
    </xf>
    <xf numFmtId="0" fontId="3" fillId="7" borderId="20"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10" fillId="12" borderId="25" xfId="0" applyFont="1" applyFill="1" applyBorder="1" applyAlignment="1">
      <alignment horizontal="center" vertical="center" wrapText="1"/>
    </xf>
    <xf numFmtId="0" fontId="10" fillId="12" borderId="26"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11" borderId="25" xfId="0" applyFont="1" applyFill="1" applyBorder="1" applyAlignment="1">
      <alignment horizontal="center"/>
    </xf>
    <xf numFmtId="0" fontId="10" fillId="11" borderId="27" xfId="0" applyFont="1" applyFill="1" applyBorder="1" applyAlignment="1">
      <alignment horizontal="center"/>
    </xf>
    <xf numFmtId="0" fontId="18" fillId="2" borderId="25" xfId="0" applyFont="1" applyFill="1" applyBorder="1" applyAlignment="1">
      <alignment horizontal="center" vertical="center"/>
    </xf>
    <xf numFmtId="0" fontId="18" fillId="2" borderId="26" xfId="0" applyFont="1" applyFill="1" applyBorder="1" applyAlignment="1">
      <alignment horizontal="center" vertical="center"/>
    </xf>
    <xf numFmtId="0" fontId="18" fillId="2" borderId="27" xfId="0" applyFont="1" applyFill="1" applyBorder="1" applyAlignment="1">
      <alignment horizontal="center" vertical="center"/>
    </xf>
    <xf numFmtId="0" fontId="10" fillId="11" borderId="25" xfId="0" applyFont="1" applyFill="1" applyBorder="1" applyAlignment="1">
      <alignment horizontal="center" vertical="center"/>
    </xf>
    <xf numFmtId="0" fontId="10" fillId="11" borderId="26" xfId="0" applyFont="1" applyFill="1" applyBorder="1" applyAlignment="1">
      <alignment horizontal="center" vertical="center"/>
    </xf>
    <xf numFmtId="0" fontId="10" fillId="11" borderId="27" xfId="0" applyFont="1" applyFill="1" applyBorder="1" applyAlignment="1">
      <alignment horizontal="center" vertical="center"/>
    </xf>
    <xf numFmtId="0" fontId="10" fillId="5" borderId="25" xfId="0" applyFont="1" applyFill="1" applyBorder="1" applyAlignment="1">
      <alignment horizontal="center" vertical="center"/>
    </xf>
    <xf numFmtId="0" fontId="10" fillId="5" borderId="27" xfId="0" applyFont="1" applyFill="1" applyBorder="1" applyAlignment="1">
      <alignment horizontal="center" vertical="center"/>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4" borderId="12" xfId="0" applyFont="1" applyFill="1" applyBorder="1" applyAlignment="1">
      <alignment horizontal="center" vertical="top" wrapText="1"/>
    </xf>
    <xf numFmtId="0" fontId="3" fillId="4" borderId="11" xfId="0" applyFont="1" applyFill="1" applyBorder="1" applyAlignment="1">
      <alignment horizontal="center" vertical="top" wrapText="1"/>
    </xf>
    <xf numFmtId="0" fontId="3" fillId="4" borderId="13" xfId="0" applyFont="1" applyFill="1" applyBorder="1" applyAlignment="1">
      <alignment horizontal="center" vertical="top" wrapText="1"/>
    </xf>
    <xf numFmtId="0" fontId="3" fillId="12" borderId="1" xfId="0" applyFont="1" applyFill="1" applyBorder="1" applyAlignment="1">
      <alignment horizontal="center" vertical="center"/>
    </xf>
    <xf numFmtId="0" fontId="3" fillId="12" borderId="10" xfId="0" applyFont="1" applyFill="1" applyBorder="1" applyAlignment="1">
      <alignment horizontal="center" vertical="center"/>
    </xf>
    <xf numFmtId="0" fontId="3" fillId="12" borderId="28" xfId="0" applyFont="1" applyFill="1" applyBorder="1" applyAlignment="1">
      <alignment horizontal="center" vertical="center"/>
    </xf>
    <xf numFmtId="0" fontId="3" fillId="12" borderId="21" xfId="0" applyFont="1" applyFill="1" applyBorder="1" applyAlignment="1">
      <alignment horizontal="center" vertical="center"/>
    </xf>
    <xf numFmtId="0" fontId="3" fillId="12" borderId="17" xfId="0" applyFont="1" applyFill="1" applyBorder="1" applyAlignment="1">
      <alignment horizontal="center" vertical="center"/>
    </xf>
    <xf numFmtId="0" fontId="3" fillId="12" borderId="20"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11" borderId="1" xfId="0" applyFont="1" applyFill="1" applyBorder="1" applyAlignment="1">
      <alignment horizontal="center" vertical="center" wrapText="1"/>
    </xf>
    <xf numFmtId="0" fontId="10" fillId="11" borderId="10" xfId="0" applyFont="1" applyFill="1" applyBorder="1" applyAlignment="1">
      <alignment horizontal="center" vertical="center" wrapText="1"/>
    </xf>
    <xf numFmtId="0" fontId="10" fillId="11" borderId="28" xfId="0" applyFont="1" applyFill="1" applyBorder="1" applyAlignment="1">
      <alignment horizontal="center" vertical="center" wrapText="1"/>
    </xf>
    <xf numFmtId="0" fontId="10" fillId="11" borderId="21" xfId="0" applyFont="1" applyFill="1" applyBorder="1" applyAlignment="1">
      <alignment horizontal="center" vertical="center" wrapText="1"/>
    </xf>
    <xf numFmtId="0" fontId="10" fillId="11" borderId="17" xfId="0" applyFont="1" applyFill="1" applyBorder="1" applyAlignment="1">
      <alignment horizontal="center" vertical="center" wrapText="1"/>
    </xf>
    <xf numFmtId="0" fontId="10" fillId="11" borderId="20" xfId="0" applyFont="1" applyFill="1" applyBorder="1" applyAlignment="1">
      <alignment horizontal="center" vertical="center" wrapText="1"/>
    </xf>
    <xf numFmtId="0" fontId="3" fillId="2" borderId="25" xfId="0" applyFont="1" applyFill="1" applyBorder="1" applyAlignment="1">
      <alignment horizontal="center" vertical="center"/>
    </xf>
    <xf numFmtId="0" fontId="3" fillId="2" borderId="27" xfId="0" applyFont="1" applyFill="1" applyBorder="1" applyAlignment="1">
      <alignment horizontal="center" vertical="center"/>
    </xf>
    <xf numFmtId="0" fontId="2" fillId="10" borderId="0" xfId="0" applyFont="1" applyFill="1" applyBorder="1" applyAlignment="1">
      <alignment horizontal="left"/>
    </xf>
    <xf numFmtId="0" fontId="2" fillId="10" borderId="24" xfId="0" applyFont="1" applyFill="1" applyBorder="1" applyAlignment="1">
      <alignment horizontal="left"/>
    </xf>
    <xf numFmtId="0" fontId="3" fillId="12" borderId="25" xfId="0" applyFont="1" applyFill="1" applyBorder="1" applyAlignment="1">
      <alignment horizontal="center"/>
    </xf>
    <xf numFmtId="0" fontId="3" fillId="12" borderId="26" xfId="0" applyFont="1" applyFill="1" applyBorder="1" applyAlignment="1">
      <alignment horizontal="center"/>
    </xf>
    <xf numFmtId="0" fontId="3" fillId="12" borderId="27" xfId="0" applyFont="1" applyFill="1" applyBorder="1" applyAlignment="1">
      <alignment horizontal="center"/>
    </xf>
    <xf numFmtId="0" fontId="2" fillId="10" borderId="0" xfId="0" applyFont="1" applyFill="1" applyBorder="1" applyAlignment="1">
      <alignment horizontal="left" vertical="top" wrapText="1"/>
    </xf>
    <xf numFmtId="0" fontId="2" fillId="10" borderId="24" xfId="0" applyFont="1" applyFill="1" applyBorder="1" applyAlignment="1">
      <alignment horizontal="left" vertical="top" wrapText="1"/>
    </xf>
    <xf numFmtId="0" fontId="1" fillId="10" borderId="2" xfId="0" applyFont="1" applyFill="1" applyBorder="1" applyAlignment="1">
      <alignment horizontal="center" vertical="top"/>
    </xf>
    <xf numFmtId="0" fontId="2" fillId="10" borderId="2" xfId="0" applyFont="1" applyFill="1" applyBorder="1" applyAlignment="1">
      <alignment horizontal="center"/>
    </xf>
    <xf numFmtId="0" fontId="2" fillId="10" borderId="0" xfId="0" applyFont="1" applyFill="1" applyBorder="1" applyAlignment="1">
      <alignment horizontal="center"/>
    </xf>
    <xf numFmtId="0" fontId="2" fillId="10" borderId="24" xfId="0" applyFont="1" applyFill="1" applyBorder="1" applyAlignment="1">
      <alignment horizontal="center"/>
    </xf>
    <xf numFmtId="0" fontId="2" fillId="0" borderId="0" xfId="0" applyFont="1" applyFill="1" applyBorder="1" applyAlignment="1">
      <alignment horizontal="left"/>
    </xf>
    <xf numFmtId="0" fontId="2" fillId="0" borderId="24" xfId="0" applyFont="1" applyFill="1" applyBorder="1" applyAlignment="1">
      <alignment horizontal="left"/>
    </xf>
    <xf numFmtId="0" fontId="3" fillId="12" borderId="25" xfId="0" applyFont="1" applyFill="1" applyBorder="1" applyAlignment="1">
      <alignment horizontal="left" vertical="center" wrapText="1"/>
    </xf>
    <xf numFmtId="0" fontId="3" fillId="12" borderId="26" xfId="0" applyFont="1" applyFill="1" applyBorder="1" applyAlignment="1">
      <alignment horizontal="left" vertical="center" wrapText="1"/>
    </xf>
    <xf numFmtId="0" fontId="3" fillId="12" borderId="27" xfId="0" applyFont="1" applyFill="1" applyBorder="1" applyAlignment="1">
      <alignment horizontal="left" vertical="center" wrapText="1"/>
    </xf>
    <xf numFmtId="0" fontId="3" fillId="0" borderId="1" xfId="0" applyFont="1" applyFill="1" applyBorder="1" applyAlignment="1">
      <alignment horizontal="center"/>
    </xf>
    <xf numFmtId="0" fontId="3" fillId="0" borderId="10" xfId="0" applyFont="1" applyFill="1" applyBorder="1" applyAlignment="1">
      <alignment horizontal="center"/>
    </xf>
    <xf numFmtId="0" fontId="3" fillId="0" borderId="10" xfId="0" applyFont="1" applyFill="1" applyBorder="1" applyAlignment="1">
      <alignment horizontal="left"/>
    </xf>
    <xf numFmtId="0" fontId="3" fillId="0" borderId="28" xfId="0" applyFont="1" applyFill="1" applyBorder="1" applyAlignment="1">
      <alignment horizontal="left"/>
    </xf>
    <xf numFmtId="0" fontId="2" fillId="11" borderId="25" xfId="0" applyFont="1" applyFill="1" applyBorder="1" applyAlignment="1">
      <alignment horizontal="center"/>
    </xf>
    <xf numFmtId="0" fontId="2" fillId="11" borderId="26" xfId="0" applyFont="1" applyFill="1" applyBorder="1" applyAlignment="1">
      <alignment horizontal="center"/>
    </xf>
    <xf numFmtId="0" fontId="2" fillId="11" borderId="2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13334</xdr:colOff>
      <xdr:row>1</xdr:row>
      <xdr:rowOff>50801</xdr:rowOff>
    </xdr:from>
    <xdr:to>
      <xdr:col>15</xdr:col>
      <xdr:colOff>255069</xdr:colOff>
      <xdr:row>53</xdr:row>
      <xdr:rowOff>2117</xdr:rowOff>
    </xdr:to>
    <xdr:sp macro="" textlink="">
      <xdr:nvSpPr>
        <xdr:cNvPr id="1028" name="Text Box 4">
          <a:extLst>
            <a:ext uri="{FF2B5EF4-FFF2-40B4-BE49-F238E27FC236}">
              <a16:creationId xmlns:a16="http://schemas.microsoft.com/office/drawing/2014/main" id="{577E8974-9143-8EEC-2C38-111BE02E7C18}"/>
            </a:ext>
          </a:extLst>
        </xdr:cNvPr>
        <xdr:cNvSpPr txBox="1">
          <a:spLocks noChangeArrowheads="1"/>
        </xdr:cNvSpPr>
      </xdr:nvSpPr>
      <xdr:spPr bwMode="auto">
        <a:xfrm>
          <a:off x="632459" y="220134"/>
          <a:ext cx="8757073" cy="8746066"/>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AU" sz="1000" b="1" i="0" u="none" strike="noStrike" baseline="0">
              <a:solidFill>
                <a:srgbClr val="000000"/>
              </a:solidFill>
              <a:latin typeface="Arial"/>
              <a:cs typeface="Arial"/>
            </a:rPr>
            <a:t>Explanation</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workbook allows for automatic input of values from the reference table located on "Sp_score_ref" worksheet, once the 4 +</a:t>
          </a:r>
          <a:r>
            <a:rPr lang="en-AU" sz="1000" b="1" i="0" u="none" strike="noStrike" baseline="0">
              <a:solidFill>
                <a:sysClr val="windowText" lastClr="000000"/>
              </a:solidFill>
              <a:effectLst/>
              <a:latin typeface="+mn-lt"/>
              <a:ea typeface="+mn-ea"/>
              <a:cs typeface="+mn-cs"/>
            </a:rPr>
            <a:t> </a:t>
          </a:r>
          <a:r>
            <a:rPr lang="en-AU" sz="1000" b="0" i="0" u="none" strike="noStrike" baseline="0">
              <a:solidFill>
                <a:srgbClr val="000000"/>
              </a:solidFill>
              <a:latin typeface="Arial"/>
              <a:cs typeface="Arial"/>
            </a:rPr>
            <a:t>4 codes (eg. 'them aust') corresponding with those on the reference table are typed into the 'Speceis code' column on the "VEGETATION" worksheet.  Note, more codes can be added to this list if new speceis are detected for the region, or for exotic species not occurring on the list. New additions can only be added by inserting rows.  Do not add species names to the bottom of the list.</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To use, go to the "Vegetation" worksheet and fill in the blue and grey boxes.</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Other notes for use of this spreadsheet tool are on the "Vegetation" worksheet in the red cells.</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yellow boxes provide the site scores and other profile information (e.g. numbers of species within each of the categories).</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Significance ratings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lvl="0"/>
          <a:r>
            <a:rPr lang="en-AU" sz="1000">
              <a:effectLst/>
              <a:latin typeface="Arial" panose="020B0604020202020204" pitchFamily="34" charset="0"/>
              <a:ea typeface="+mn-ea"/>
              <a:cs typeface="Arial" panose="020B0604020202020204" pitchFamily="34" charset="0"/>
            </a:rPr>
            <a:t>A = ‘indicator species, level A’: species that are uncommon in the region, and where they occur, generally indicate grassland sites of high to very high value; such species occur very rarely or in very low numbers in grasslands that have been subject to intense, frequent, long-term or sometimes even one-off disturbances, such as, ploughing, heavy stock grazing pressures or application of fertilisers; some of these species are also inherently rare; this category includes all threatened flora species that are listed under the NSW and Australian Government acts. </a:t>
          </a: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r>
            <a:rPr lang="en-AU" sz="1000">
              <a:effectLst/>
              <a:latin typeface="Arial" panose="020B0604020202020204" pitchFamily="34" charset="0"/>
              <a:ea typeface="+mn-ea"/>
              <a:cs typeface="Arial" panose="020B0604020202020204" pitchFamily="34" charset="0"/>
            </a:rPr>
            <a:t>B = ‘indicator species, level B’: species that are more common in grassland sites , relative to level 2 species; they generally occur less frequently in highly disturbed sites, though some persist with intermediate levels of disturbance. </a:t>
          </a:r>
          <a:endParaRPr lang="en-AU" sz="1000">
            <a:effectLst/>
            <a:latin typeface="Arial" panose="020B0604020202020204" pitchFamily="34" charset="0"/>
            <a:cs typeface="Arial" panose="020B0604020202020204" pitchFamily="34" charset="0"/>
          </a:endParaRPr>
        </a:p>
        <a:p>
          <a:pPr algn="l" rtl="0">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AU" sz="1000">
              <a:effectLst/>
              <a:latin typeface="Arial" panose="020B0604020202020204" pitchFamily="34" charset="0"/>
              <a:ea typeface="+mn-ea"/>
              <a:cs typeface="Arial" panose="020B0604020202020204" pitchFamily="34" charset="0"/>
            </a:rPr>
            <a:t>C = ‘common or increaser species, level C’: species that are thought to be ‘disturbance-tolerant’, ‘disturbance responding’ or ‘increaser’ species; increasers respond positively to various disturbances and are thus most commonly recorded in disturbed or degraded sites. </a:t>
          </a:r>
          <a:endParaRPr lang="en-AU" sz="10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 </a:t>
          </a:r>
        </a:p>
        <a:p>
          <a:pPr lvl="0"/>
          <a:r>
            <a:rPr lang="en-AU" sz="1000">
              <a:effectLst/>
              <a:latin typeface="Arial" panose="020B0604020202020204" pitchFamily="34" charset="0"/>
              <a:ea typeface="+mn-ea"/>
              <a:cs typeface="Arial" panose="020B0604020202020204" pitchFamily="34" charset="0"/>
            </a:rPr>
            <a:t>X = ‘level X’ species: these are the very high-impact species, such as Phalaris (</a:t>
          </a:r>
          <a:r>
            <a:rPr lang="en-AU" sz="1000" i="1">
              <a:effectLst/>
              <a:latin typeface="Arial" panose="020B0604020202020204" pitchFamily="34" charset="0"/>
              <a:ea typeface="+mn-ea"/>
              <a:cs typeface="Arial" panose="020B0604020202020204" pitchFamily="34" charset="0"/>
            </a:rPr>
            <a:t>Phalaris aquatica</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African Love-grass (</a:t>
          </a:r>
          <a:r>
            <a:rPr lang="en-AU" sz="1000" i="1">
              <a:effectLst/>
              <a:latin typeface="Arial" panose="020B0604020202020204" pitchFamily="34" charset="0"/>
              <a:ea typeface="+mn-ea"/>
              <a:cs typeface="Arial" panose="020B0604020202020204" pitchFamily="34" charset="0"/>
            </a:rPr>
            <a:t>Eragrostis curvula</a:t>
          </a:r>
          <a:r>
            <a:rPr lang="en-AU" sz="1000">
              <a:effectLst/>
              <a:latin typeface="Arial" panose="020B0604020202020204" pitchFamily="34" charset="0"/>
              <a:ea typeface="+mn-ea"/>
              <a:cs typeface="Arial" panose="020B0604020202020204" pitchFamily="34" charset="0"/>
            </a:rPr>
            <a:t>), the exotic stipoid grasses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Serrated Tussock (</a:t>
          </a:r>
          <a:r>
            <a:rPr lang="en-AU" sz="1000" i="1">
              <a:effectLst/>
              <a:latin typeface="Arial" panose="020B0604020202020204" pitchFamily="34" charset="0"/>
              <a:ea typeface="+mn-ea"/>
              <a:cs typeface="Arial" panose="020B0604020202020204" pitchFamily="34" charset="0"/>
            </a:rPr>
            <a:t>Nassella trichotoma</a:t>
          </a:r>
          <a:r>
            <a:rPr lang="en-AU" sz="1000">
              <a:effectLst/>
              <a:latin typeface="Arial" panose="020B0604020202020204" pitchFamily="34" charset="0"/>
              <a:ea typeface="+mn-ea"/>
              <a:cs typeface="Arial" panose="020B0604020202020204" pitchFamily="34" charset="0"/>
            </a:rPr>
            <a:t>) and Chilean Needle-grass (</a:t>
          </a:r>
          <a:r>
            <a:rPr lang="en-AU" sz="1000" i="1">
              <a:effectLst/>
              <a:latin typeface="Arial" panose="020B0604020202020204" pitchFamily="34" charset="0"/>
              <a:ea typeface="+mn-ea"/>
              <a:cs typeface="Arial" panose="020B0604020202020204" pitchFamily="34" charset="0"/>
            </a:rPr>
            <a:t>N. neesiana</a:t>
          </a:r>
          <a:r>
            <a:rPr lang="en-AU" sz="1000">
              <a:effectLst/>
              <a:latin typeface="Arial" panose="020B0604020202020204" pitchFamily="34" charset="0"/>
              <a:ea typeface="+mn-ea"/>
              <a:cs typeface="Arial" panose="020B0604020202020204" pitchFamily="34" charset="0"/>
            </a:rPr>
            <a:t>) and Coolatai Grass (</a:t>
          </a:r>
          <a:r>
            <a:rPr lang="en-AU" sz="1000" i="1">
              <a:effectLst/>
              <a:latin typeface="Arial" panose="020B0604020202020204" pitchFamily="34" charset="0"/>
              <a:ea typeface="+mn-ea"/>
              <a:cs typeface="Arial" panose="020B0604020202020204" pitchFamily="34" charset="0"/>
            </a:rPr>
            <a:t>Hyparrhenia hirta</a:t>
          </a:r>
          <a:r>
            <a:rPr lang="en-AU" sz="1000">
              <a:effectLst/>
              <a:latin typeface="Arial" panose="020B0604020202020204" pitchFamily="34" charset="0"/>
              <a:ea typeface="+mn-ea"/>
              <a:cs typeface="Arial" panose="020B0604020202020204" pitchFamily="34" charset="0"/>
            </a:rPr>
            <a:t>); they are often, thought not always and in every region, declared noxious weeds, are the most intractable species, and if occurring over a large proportion of the site, may render the site’s value to be low, despite its other inherent values, as they are difficult, time-consuming and costly to remove without also severely impacting on the native species at the site;</a:t>
          </a:r>
        </a:p>
        <a:p>
          <a:pPr marL="0" marR="0" lvl="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lvl="0"/>
          <a:r>
            <a:rPr lang="en-AU" sz="1000">
              <a:effectLst/>
              <a:latin typeface="Arial" panose="020B0604020202020204" pitchFamily="34" charset="0"/>
              <a:ea typeface="+mn-ea"/>
              <a:cs typeface="Arial" panose="020B0604020202020204" pitchFamily="34" charset="0"/>
            </a:rPr>
            <a:t>Y = ‘level Y’ species: these are the more significant and persistent species, mostly either perennial, or biennial, and sometimes woody; they include species such as Cootamundra Wattle (</a:t>
          </a:r>
          <a:r>
            <a:rPr lang="en-AU" sz="1000" i="1">
              <a:effectLst/>
              <a:latin typeface="Arial" panose="020B0604020202020204" pitchFamily="34" charset="0"/>
              <a:ea typeface="+mn-ea"/>
              <a:cs typeface="Arial" panose="020B0604020202020204" pitchFamily="34" charset="0"/>
            </a:rPr>
            <a:t>Acacia baileyana</a:t>
          </a:r>
          <a:r>
            <a:rPr lang="en-AU" sz="1000">
              <a:effectLst/>
              <a:latin typeface="Arial" panose="020B0604020202020204" pitchFamily="34" charset="0"/>
              <a:ea typeface="+mn-ea"/>
              <a:cs typeface="Arial" panose="020B0604020202020204" pitchFamily="34" charset="0"/>
            </a:rPr>
            <a:t>), Sweet Briar (</a:t>
          </a:r>
          <a:r>
            <a:rPr lang="en-AU" sz="1000" i="1">
              <a:effectLst/>
              <a:latin typeface="Arial" panose="020B0604020202020204" pitchFamily="34" charset="0"/>
              <a:ea typeface="+mn-ea"/>
              <a:cs typeface="Arial" panose="020B0604020202020204" pitchFamily="34" charset="0"/>
            </a:rPr>
            <a:t>Rosa rubiginosa</a:t>
          </a:r>
          <a:r>
            <a:rPr lang="en-AU" sz="1000">
              <a:effectLst/>
              <a:latin typeface="Arial" panose="020B0604020202020204" pitchFamily="34" charset="0"/>
              <a:ea typeface="+mn-ea"/>
              <a:cs typeface="Arial" panose="020B0604020202020204" pitchFamily="34" charset="0"/>
            </a:rPr>
            <a:t>), St John’s Wort (</a:t>
          </a:r>
          <a:r>
            <a:rPr lang="en-AU" sz="1000" i="1">
              <a:effectLst/>
              <a:latin typeface="Arial" panose="020B0604020202020204" pitchFamily="34" charset="0"/>
              <a:ea typeface="+mn-ea"/>
              <a:cs typeface="Arial" panose="020B0604020202020204" pitchFamily="34" charset="0"/>
            </a:rPr>
            <a:t>Hypericum perforatum</a:t>
          </a:r>
          <a:r>
            <a:rPr lang="en-AU" sz="1000">
              <a:effectLst/>
              <a:latin typeface="Arial" panose="020B0604020202020204" pitchFamily="34" charset="0"/>
              <a:ea typeface="+mn-ea"/>
              <a:cs typeface="Arial" panose="020B0604020202020204" pitchFamily="34" charset="0"/>
            </a:rPr>
            <a:t>) Cat’s-ear (</a:t>
          </a:r>
          <a:r>
            <a:rPr lang="en-AU" sz="1000" i="1">
              <a:effectLst/>
              <a:latin typeface="Arial" panose="020B0604020202020204" pitchFamily="34" charset="0"/>
              <a:ea typeface="+mn-ea"/>
              <a:cs typeface="Arial" panose="020B0604020202020204" pitchFamily="34" charset="0"/>
            </a:rPr>
            <a:t>Hypochaeris radicata</a:t>
          </a:r>
          <a:r>
            <a:rPr lang="en-AU" sz="1000">
              <a:effectLst/>
              <a:latin typeface="Arial" panose="020B0604020202020204" pitchFamily="34" charset="0"/>
              <a:ea typeface="+mn-ea"/>
              <a:cs typeface="Arial" panose="020B0604020202020204" pitchFamily="34" charset="0"/>
            </a:rPr>
            <a:t>), goat’s-beards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Tragopogon </a:t>
          </a:r>
          <a:r>
            <a:rPr lang="en-AU" sz="1000">
              <a:effectLst/>
              <a:latin typeface="Arial" panose="020B0604020202020204" pitchFamily="34" charset="0"/>
              <a:ea typeface="+mn-ea"/>
              <a:cs typeface="Arial" panose="020B0604020202020204" pitchFamily="34" charset="0"/>
            </a:rPr>
            <a:t>spp.) and Goose Grass (</a:t>
          </a:r>
          <a:r>
            <a:rPr lang="en-AU" sz="1000" i="1">
              <a:effectLst/>
              <a:latin typeface="Arial" panose="020B0604020202020204" pitchFamily="34" charset="0"/>
              <a:ea typeface="+mn-ea"/>
              <a:cs typeface="Arial" panose="020B0604020202020204" pitchFamily="34" charset="0"/>
            </a:rPr>
            <a:t>Eleusine tristachya</a:t>
          </a:r>
          <a:r>
            <a:rPr lang="en-AU" sz="1000">
              <a:effectLst/>
              <a:latin typeface="Arial" panose="020B0604020202020204" pitchFamily="34" charset="0"/>
              <a:ea typeface="+mn-ea"/>
              <a:cs typeface="Arial" panose="020B0604020202020204" pitchFamily="34" charset="0"/>
            </a:rPr>
            <a:t>); these species can usually be easily removed, even if occurring in high cover over a site; and</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Z = ‘level Z’ species: these include the common, though low-impact, mostly annual weeds, such as, for example hair-grasses (</a:t>
          </a:r>
          <a:r>
            <a:rPr lang="en-AU" sz="1000" i="1">
              <a:effectLst/>
              <a:latin typeface="Arial" panose="020B0604020202020204" pitchFamily="34" charset="0"/>
              <a:ea typeface="+mn-ea"/>
              <a:cs typeface="Arial" panose="020B0604020202020204" pitchFamily="34" charset="0"/>
            </a:rPr>
            <a:t>Aira</a:t>
          </a:r>
          <a:r>
            <a:rPr lang="en-AU" sz="1000">
              <a:effectLst/>
              <a:latin typeface="Arial" panose="020B0604020202020204" pitchFamily="34" charset="0"/>
              <a:ea typeface="+mn-ea"/>
              <a:cs typeface="Arial" panose="020B0604020202020204" pitchFamily="34" charset="0"/>
            </a:rPr>
            <a:t> spp.), Red Bartsia (</a:t>
          </a:r>
          <a:r>
            <a:rPr lang="en-AU" sz="1000" i="1">
              <a:effectLst/>
              <a:latin typeface="Arial" panose="020B0604020202020204" pitchFamily="34" charset="0"/>
              <a:ea typeface="+mn-ea"/>
              <a:cs typeface="Arial" panose="020B0604020202020204" pitchFamily="34" charset="0"/>
            </a:rPr>
            <a:t>Parentucellia latifolia</a:t>
          </a:r>
          <a:r>
            <a:rPr lang="en-AU" sz="1000">
              <a:effectLst/>
              <a:latin typeface="Arial" panose="020B0604020202020204" pitchFamily="34" charset="0"/>
              <a:ea typeface="+mn-ea"/>
              <a:cs typeface="Arial" panose="020B0604020202020204" pitchFamily="34" charset="0"/>
            </a:rPr>
            <a:t>) or Pelisser’s Toadflax (</a:t>
          </a:r>
          <a:r>
            <a:rPr lang="en-AU" sz="1000" i="1">
              <a:effectLst/>
              <a:latin typeface="Arial" panose="020B0604020202020204" pitchFamily="34" charset="0"/>
              <a:ea typeface="+mn-ea"/>
              <a:cs typeface="Arial" panose="020B0604020202020204" pitchFamily="34" charset="0"/>
            </a:rPr>
            <a:t>Linaria pelisseriana</a:t>
          </a:r>
          <a:r>
            <a:rPr lang="en-AU" sz="1000">
              <a:effectLst/>
              <a:latin typeface="Arial" panose="020B0604020202020204" pitchFamily="34" charset="0"/>
              <a:ea typeface="+mn-ea"/>
              <a:cs typeface="Arial" panose="020B0604020202020204" pitchFamily="34" charset="0"/>
            </a:rPr>
            <a:t>); these are equivalent to the ‘level C’ native flora species); they generally have little impact on the grassland’s values.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r>
            <a:rPr lang="en-AU" sz="1000" b="0" i="0" u="none" strike="noStrike" baseline="0">
              <a:solidFill>
                <a:srgbClr val="000000"/>
              </a:solidFill>
              <a:latin typeface="Arial" panose="020B0604020202020204" pitchFamily="34" charset="0"/>
              <a:cs typeface="Arial" panose="020B0604020202020204" pitchFamily="34" charset="0"/>
            </a:rPr>
            <a:t>Use the cover / abundance codes as they appear in the box on the left of the "VEGETATION" sheet</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References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rtl="0"/>
          <a:r>
            <a:rPr lang="en-AU" sz="1000" b="0" i="0" baseline="0">
              <a:latin typeface="Arial" pitchFamily="34" charset="0"/>
              <a:ea typeface="+mn-ea"/>
              <a:cs typeface="Arial" pitchFamily="34" charset="0"/>
            </a:rPr>
            <a:t>This information is based on: Rehwinkel, R (2015). </a:t>
          </a:r>
          <a:r>
            <a:rPr lang="en-GB" sz="1000" i="1">
              <a:latin typeface="Arial" pitchFamily="34" charset="0"/>
              <a:ea typeface="+mn-ea"/>
              <a:cs typeface="Arial" pitchFamily="34" charset="0"/>
            </a:rPr>
            <a:t>A Revised Floristic Value Scoring Method to assess grassland condition.</a:t>
          </a:r>
          <a:r>
            <a:rPr lang="en-AU" sz="1000" b="0" i="0" baseline="0">
              <a:latin typeface="Arial" pitchFamily="34" charset="0"/>
              <a:ea typeface="+mn-ea"/>
              <a:cs typeface="Arial" pitchFamily="34" charset="0"/>
            </a:rPr>
            <a:t> </a:t>
          </a:r>
          <a:r>
            <a:rPr lang="en-GB" sz="1000" b="0" i="0">
              <a:latin typeface="Arial" pitchFamily="34" charset="0"/>
              <a:ea typeface="+mn-ea"/>
              <a:cs typeface="Arial" pitchFamily="34" charset="0"/>
            </a:rPr>
            <a:t>In Grass half full or grass half empty? Valuing native grassy landscapes. Proceedings of the Friends of Grasslands 20th anniversary forum, 30 October – 1 November 2014, Canberra, Australia. Editors: A. Milligan &amp; H. Horton. Friends of Grasslands Inc. ISBN 978-0-9944958-1-5</a:t>
          </a:r>
          <a:r>
            <a:rPr lang="en-AU" sz="1000" b="0" i="0" baseline="0">
              <a:latin typeface="Arial" pitchFamily="34" charset="0"/>
              <a:ea typeface="+mn-ea"/>
              <a:cs typeface="Arial" pitchFamily="34" charset="0"/>
            </a:rPr>
            <a:t>.</a:t>
          </a:r>
          <a:endParaRPr lang="en-GB" sz="1000">
            <a:latin typeface="Arial" pitchFamily="34" charset="0"/>
            <a:cs typeface="Arial" pitchFamily="34" charset="0"/>
          </a:endParaRP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All names used are as on the PlantNet website:  http://plantnet.rbgsyd.nsw.gov.au/</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Acknowledgments</a:t>
          </a:r>
        </a:p>
        <a:p>
          <a:pPr algn="l" rtl="0">
            <a:defRPr sz="1000"/>
          </a:pPr>
          <a:endParaRPr lang="en-AU" sz="1000" b="1"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spreadsheet was developed by David Wong.</a:t>
          </a:r>
        </a:p>
        <a:p>
          <a:pPr algn="l" rtl="0">
            <a:defRPr sz="1000"/>
          </a:pP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plantnet.rbgsyd.nsw.gov.au/cgi-bin/NSWfl.pl?page=nswfl&amp;lvl=gn&amp;name=Thellung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DB4D-7095-4C04-9A50-F912EA5EBECC}">
  <dimension ref="A1"/>
  <sheetViews>
    <sheetView tabSelected="1" topLeftCell="A14" zoomScale="90" zoomScaleNormal="90" workbookViewId="0">
      <selection activeCell="A32" sqref="A32"/>
    </sheetView>
  </sheetViews>
  <sheetFormatPr defaultRowHeight="12.75" x14ac:dyDescent="0.2"/>
  <sheetData/>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28C0-77F4-40DC-B191-CFEED143D670}">
  <dimension ref="A1:AO118"/>
  <sheetViews>
    <sheetView topLeftCell="A64" zoomScale="80" zoomScaleNormal="80" workbookViewId="0">
      <selection activeCell="C82" sqref="C82:H82"/>
    </sheetView>
  </sheetViews>
  <sheetFormatPr defaultRowHeight="12.75" x14ac:dyDescent="0.2"/>
  <cols>
    <col min="1" max="1" width="2.28515625" customWidth="1"/>
    <col min="2" max="2" width="8.28515625" customWidth="1"/>
    <col min="3" max="3" width="28.28515625" customWidth="1"/>
    <col min="4" max="4" width="21.28515625" customWidth="1"/>
    <col min="5" max="5" width="12.42578125" style="21" customWidth="1"/>
    <col min="6" max="6" width="14.5703125" customWidth="1"/>
    <col min="7" max="7" width="10" style="21" customWidth="1"/>
    <col min="8" max="8" width="36.5703125" customWidth="1"/>
    <col min="9" max="9" width="14.7109375" style="21" customWidth="1"/>
    <col min="10" max="10" width="9.140625" style="14" hidden="1" customWidth="1"/>
    <col min="11" max="11" width="18.28515625" style="14" hidden="1" customWidth="1"/>
    <col min="12" max="12" width="21.7109375" style="14" hidden="1" customWidth="1"/>
    <col min="13" max="19" width="17.28515625" style="14" hidden="1" customWidth="1"/>
    <col min="20" max="22" width="13.28515625" hidden="1" customWidth="1"/>
    <col min="23" max="28" width="13.28515625" style="14" hidden="1" customWidth="1"/>
    <col min="29" max="29" width="9.140625" style="14" customWidth="1"/>
    <col min="30" max="30" width="12.28515625" style="14" customWidth="1"/>
    <col min="31" max="38" width="9.140625" style="14" customWidth="1"/>
  </cols>
  <sheetData>
    <row r="1" spans="2:40" ht="13.5" thickBot="1" x14ac:dyDescent="0.25">
      <c r="V1" s="14"/>
    </row>
    <row r="2" spans="2:40" ht="25.9" customHeight="1" thickBot="1" x14ac:dyDescent="0.25">
      <c r="C2" s="147" t="s">
        <v>2533</v>
      </c>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9"/>
    </row>
    <row r="3" spans="2:40" ht="13.5" thickBot="1" x14ac:dyDescent="0.25">
      <c r="C3" s="1"/>
      <c r="V3" s="14"/>
    </row>
    <row r="4" spans="2:40" s="27" customFormat="1" ht="23.25" customHeight="1" thickBot="1" x14ac:dyDescent="0.25">
      <c r="C4" s="39" t="s">
        <v>259</v>
      </c>
      <c r="D4" s="28" t="s">
        <v>2536</v>
      </c>
      <c r="E4" s="29" t="s">
        <v>0</v>
      </c>
      <c r="F4" s="153" t="s">
        <v>2537</v>
      </c>
      <c r="G4" s="154"/>
      <c r="H4" s="30" t="s">
        <v>260</v>
      </c>
      <c r="I4" s="150" t="s">
        <v>2538</v>
      </c>
      <c r="J4" s="151"/>
      <c r="K4" s="151"/>
      <c r="L4" s="151"/>
      <c r="M4" s="151"/>
      <c r="N4" s="151"/>
      <c r="O4" s="151"/>
      <c r="P4" s="151"/>
      <c r="Q4" s="151"/>
      <c r="R4" s="151"/>
      <c r="S4" s="151"/>
      <c r="T4" s="151"/>
      <c r="U4" s="151"/>
      <c r="V4" s="151"/>
      <c r="W4" s="151"/>
      <c r="X4" s="151"/>
      <c r="Y4" s="151"/>
      <c r="Z4" s="151"/>
      <c r="AA4" s="151"/>
      <c r="AB4" s="151"/>
      <c r="AC4" s="151"/>
      <c r="AD4" s="152"/>
      <c r="AE4" s="31"/>
      <c r="AF4" s="31"/>
      <c r="AG4" s="31"/>
      <c r="AH4" s="31"/>
      <c r="AI4" s="31"/>
      <c r="AJ4" s="31"/>
      <c r="AK4" s="31"/>
      <c r="AL4" s="31"/>
    </row>
    <row r="5" spans="2:40" ht="13.5" thickBot="1" x14ac:dyDescent="0.25">
      <c r="C5" s="1"/>
      <c r="AC5"/>
      <c r="AD5"/>
    </row>
    <row r="6" spans="2:40" s="6" customFormat="1" ht="140.44999999999999" customHeight="1" thickBot="1" x14ac:dyDescent="0.25">
      <c r="C6" s="101" t="s">
        <v>2451</v>
      </c>
      <c r="D6" s="101" t="s">
        <v>2450</v>
      </c>
      <c r="E6" s="100" t="s">
        <v>2452</v>
      </c>
      <c r="F6" s="47" t="s">
        <v>2545</v>
      </c>
      <c r="G6" s="47" t="s">
        <v>2546</v>
      </c>
      <c r="H6" s="48" t="s">
        <v>1</v>
      </c>
      <c r="I6" s="49" t="s">
        <v>253</v>
      </c>
      <c r="J6" s="44" t="s">
        <v>2540</v>
      </c>
      <c r="K6" s="44" t="s">
        <v>2464</v>
      </c>
      <c r="L6" s="44" t="s">
        <v>2467</v>
      </c>
      <c r="M6" s="44" t="s">
        <v>2468</v>
      </c>
      <c r="N6" s="44" t="s">
        <v>2465</v>
      </c>
      <c r="O6" s="44" t="s">
        <v>2469</v>
      </c>
      <c r="P6" s="44" t="s">
        <v>2470</v>
      </c>
      <c r="Q6" s="44" t="s">
        <v>2466</v>
      </c>
      <c r="R6" s="44" t="s">
        <v>2471</v>
      </c>
      <c r="S6" s="44" t="s">
        <v>2472</v>
      </c>
      <c r="T6" s="96" t="s">
        <v>2488</v>
      </c>
      <c r="U6" s="96" t="s">
        <v>2487</v>
      </c>
      <c r="V6" s="96" t="s">
        <v>2489</v>
      </c>
      <c r="W6" s="96" t="s">
        <v>2490</v>
      </c>
      <c r="X6" s="96" t="s">
        <v>2491</v>
      </c>
      <c r="Y6" s="96" t="s">
        <v>2492</v>
      </c>
      <c r="Z6" s="96" t="s">
        <v>2493</v>
      </c>
      <c r="AA6" s="96" t="s">
        <v>2485</v>
      </c>
      <c r="AB6" s="96" t="s">
        <v>2486</v>
      </c>
      <c r="AC6" s="15"/>
      <c r="AD6" s="15"/>
      <c r="AE6" s="15"/>
      <c r="AF6" s="15"/>
      <c r="AG6" s="15"/>
      <c r="AH6" s="15"/>
      <c r="AI6" s="15"/>
      <c r="AJ6" s="15"/>
      <c r="AK6" s="15"/>
      <c r="AL6" s="15"/>
      <c r="AM6" s="15"/>
      <c r="AN6" s="15"/>
    </row>
    <row r="7" spans="2:40" ht="13.5" thickBot="1" x14ac:dyDescent="0.25">
      <c r="D7" s="2"/>
      <c r="E7" s="22"/>
      <c r="F7" s="32"/>
      <c r="G7" s="56"/>
      <c r="H7" s="4" t="e">
        <f>VLOOKUP(F7,Sp_score_ref!$B$2:$D$1426,2,FALSE)</f>
        <v>#N/A</v>
      </c>
      <c r="I7" s="72" t="e">
        <f>VLOOKUP(F7,Sp_score_ref!$B$2:$D$1426,3,FALSE)</f>
        <v>#N/A</v>
      </c>
      <c r="J7" s="26"/>
      <c r="K7" s="24" t="e">
        <f>IF($I7 = "A", 1, "0")</f>
        <v>#N/A</v>
      </c>
      <c r="L7" s="20" t="e">
        <f>IF(AND($I7 = "A", $G7 &lt;&gt;  2), 1, "0")</f>
        <v>#N/A</v>
      </c>
      <c r="M7" s="20" t="e">
        <f>IF(AND($I7 = "A", $G7 &lt;&gt;  1), 1, "0")</f>
        <v>#N/A</v>
      </c>
      <c r="N7" s="24" t="e">
        <f>IF($I7 = "B", 1, "0")</f>
        <v>#N/A</v>
      </c>
      <c r="O7" s="24" t="e">
        <f>IF(AND($I7 = "B", $G7 &lt;&gt;  2), 1, "0")</f>
        <v>#N/A</v>
      </c>
      <c r="P7" s="24" t="e">
        <f>IF(AND($I7 = "B", $G7 &lt;&gt;  1), 1, "0")</f>
        <v>#N/A</v>
      </c>
      <c r="Q7" s="24" t="e">
        <f>IF($I7 = "C", 1, "0")</f>
        <v>#N/A</v>
      </c>
      <c r="R7" s="24" t="e">
        <f>IF(AND($I7 = "C", $G7 &lt;&gt;  2), 1, "0")</f>
        <v>#N/A</v>
      </c>
      <c r="S7" s="24" t="e">
        <f>IF(AND($I7 = "C", $G7 &lt;&gt;  1), 1, "0")</f>
        <v>#N/A</v>
      </c>
      <c r="T7" s="20" t="e">
        <f>IF($I7 = "X", 1, "0")</f>
        <v>#N/A</v>
      </c>
      <c r="U7" s="20" t="e">
        <f>IF(AND($I7 = "X", $G7 &lt;&gt;  2), 1, "0")</f>
        <v>#N/A</v>
      </c>
      <c r="V7" s="20" t="e">
        <f>IF(AND($I7 = "X", $G7 &lt;&gt;  1), 1, "0")</f>
        <v>#N/A</v>
      </c>
      <c r="W7" s="20" t="e">
        <f>IF($I7 = "Y", 1, "0")</f>
        <v>#N/A</v>
      </c>
      <c r="X7" s="20" t="e">
        <f>IF(AND($I7 = "Y", $G7 &lt;&gt;  2), 1, "0")</f>
        <v>#N/A</v>
      </c>
      <c r="Y7" s="20" t="e">
        <f>IF(AND($I7 = "Y", $G7 &lt;&gt;  1), 1, "0")</f>
        <v>#N/A</v>
      </c>
      <c r="Z7" s="20" t="e">
        <f>IF($I7 = "Z", 1, "0")</f>
        <v>#N/A</v>
      </c>
      <c r="AA7" s="20" t="e">
        <f>IF(AND($I7 = "Z", $G7 &lt;&gt;  2), 1, "0")</f>
        <v>#N/A</v>
      </c>
      <c r="AB7" s="20" t="e">
        <f>IF(AND($I7 = "Z", $G7 &lt;&gt;  1), 1, "0")</f>
        <v>#N/A</v>
      </c>
      <c r="AM7" s="14"/>
      <c r="AN7" s="14"/>
    </row>
    <row r="8" spans="2:40" ht="13.5" thickBot="1" x14ac:dyDescent="0.25">
      <c r="C8" s="158" t="s">
        <v>2534</v>
      </c>
      <c r="D8" s="159"/>
      <c r="E8" s="22"/>
      <c r="F8" s="33"/>
      <c r="G8" s="57"/>
      <c r="H8" s="5" t="e">
        <f>VLOOKUP(F8,Sp_score_ref!$B$2:$D$1426,2,FALSE)</f>
        <v>#N/A</v>
      </c>
      <c r="I8" s="26" t="e">
        <f>VLOOKUP(F8,Sp_score_ref!$B$2:$D$1426,3,FALSE)</f>
        <v>#N/A</v>
      </c>
      <c r="J8" s="26"/>
      <c r="K8" s="20" t="e">
        <f>IF($I8 = "A", 1, "0")</f>
        <v>#N/A</v>
      </c>
      <c r="L8" s="20" t="e">
        <f>IF(AND($I8 = "A", $G8 &lt;&gt;  2), 1, "0")</f>
        <v>#N/A</v>
      </c>
      <c r="M8" s="20" t="e">
        <f>IF(AND($I8 = "A", $G8 &lt;&gt;  1), 1, "0")</f>
        <v>#N/A</v>
      </c>
      <c r="N8" s="20" t="e">
        <f>IF($I8 = "B", 1, "0")</f>
        <v>#N/A</v>
      </c>
      <c r="O8" s="20" t="e">
        <f>IF(AND($I8 = "B", $G8 &lt;&gt;  2), 1, "0")</f>
        <v>#N/A</v>
      </c>
      <c r="P8" s="20" t="e">
        <f>IF(AND($I8 = "B", $G8 &lt;&gt;  1), 1, "0")</f>
        <v>#N/A</v>
      </c>
      <c r="Q8" s="20" t="e">
        <f>IF($I8 = "C", 1, "0")</f>
        <v>#N/A</v>
      </c>
      <c r="R8" s="20" t="e">
        <f>IF(AND($I8 = "C", $G8 &lt;&gt;  2), 1, "0")</f>
        <v>#N/A</v>
      </c>
      <c r="S8" s="20" t="e">
        <f>IF(AND($I8 = "C", $G8 &lt;&gt;  1), 1, "0")</f>
        <v>#N/A</v>
      </c>
      <c r="T8" s="20" t="e">
        <f>IF($I8 = "X", 1, "0")</f>
        <v>#N/A</v>
      </c>
      <c r="U8" s="20" t="e">
        <f>IF(AND($I8 = "X", $G8 &lt;&gt;  2), 1, "0")</f>
        <v>#N/A</v>
      </c>
      <c r="V8" s="20" t="e">
        <f>IF(AND($I8 = "X", $G8 &lt;&gt;  1), 1, "0")</f>
        <v>#N/A</v>
      </c>
      <c r="W8" s="20" t="e">
        <f>IF($I8 = "Y", 1, "0")</f>
        <v>#N/A</v>
      </c>
      <c r="X8" s="20" t="e">
        <f>IF(AND($I8 = "Y", $G8 &lt;&gt;  2), 1, "0")</f>
        <v>#N/A</v>
      </c>
      <c r="Y8" s="20" t="e">
        <f>IF(AND($I8 = "Y", $G8 &lt;&gt;  1), 1, "0")</f>
        <v>#N/A</v>
      </c>
      <c r="Z8" s="20" t="e">
        <f>IF($I8 = "Z", 1, "0")</f>
        <v>#N/A</v>
      </c>
      <c r="AA8" s="20" t="e">
        <f>IF(AND($I8 = "Z", $G8 &lt;&gt;  2), 1, "0")</f>
        <v>#N/A</v>
      </c>
      <c r="AB8" s="20" t="e">
        <f>IF(AND($I8 = "Z", $G8 &lt;&gt;  1), 1, "0")</f>
        <v>#N/A</v>
      </c>
      <c r="AM8" s="14"/>
      <c r="AN8" s="14"/>
    </row>
    <row r="9" spans="2:40" ht="13.9" customHeight="1" thickBot="1" x14ac:dyDescent="0.25">
      <c r="C9" s="23" t="s">
        <v>2438</v>
      </c>
      <c r="D9" s="25"/>
      <c r="E9" s="22"/>
      <c r="F9" s="33"/>
      <c r="G9" s="57"/>
      <c r="H9" s="5" t="e">
        <f>VLOOKUP(F9,Sp_score_ref!$B$2:$D$1426,2,FALSE)</f>
        <v>#N/A</v>
      </c>
      <c r="I9" s="26" t="e">
        <f>VLOOKUP(F9,Sp_score_ref!$B$2:$D$1426,3,FALSE)</f>
        <v>#N/A</v>
      </c>
      <c r="J9" s="26"/>
      <c r="K9" s="20" t="e">
        <f t="shared" ref="K9:K70" si="0">IF($I9 = "A", 1, "0")</f>
        <v>#N/A</v>
      </c>
      <c r="L9" s="20" t="e">
        <f t="shared" ref="L9:L70" si="1">IF(AND($I9 = "A", $G9 &lt;&gt;  2), 1, "0")</f>
        <v>#N/A</v>
      </c>
      <c r="M9" s="20" t="e">
        <f t="shared" ref="M9:M70" si="2">IF(AND($I9 = "A", $G9 &lt;&gt;  1), 1, "0")</f>
        <v>#N/A</v>
      </c>
      <c r="N9" s="20" t="e">
        <f t="shared" ref="N9:N70" si="3">IF($I9 = "B", 1, "0")</f>
        <v>#N/A</v>
      </c>
      <c r="O9" s="20" t="e">
        <f t="shared" ref="O9:O70" si="4">IF(AND($I9 = "B", $G9 &lt;&gt;  2), 1, "0")</f>
        <v>#N/A</v>
      </c>
      <c r="P9" s="20" t="e">
        <f t="shared" ref="P9:P70" si="5">IF(AND($I9 = "B", $G9 &lt;&gt;  1), 1, "0")</f>
        <v>#N/A</v>
      </c>
      <c r="Q9" s="20" t="e">
        <f t="shared" ref="Q9:Q70" si="6">IF($I9 = "C", 1, "0")</f>
        <v>#N/A</v>
      </c>
      <c r="R9" s="20" t="e">
        <f t="shared" ref="R9:R70" si="7">IF(AND($I9 = "C", $G9 &lt;&gt;  2), 1, "0")</f>
        <v>#N/A</v>
      </c>
      <c r="S9" s="20" t="e">
        <f t="shared" ref="S9:S70" si="8">IF(AND($I9 = "C", $G9 &lt;&gt;  1), 1, "0")</f>
        <v>#N/A</v>
      </c>
      <c r="T9" s="20" t="e">
        <f t="shared" ref="T9:T70" si="9">IF($I9 = "X", 1, "0")</f>
        <v>#N/A</v>
      </c>
      <c r="U9" s="20" t="e">
        <f t="shared" ref="U9:U70" si="10">IF(AND($I9 = "X", $G9 &lt;&gt;  2), 1, "0")</f>
        <v>#N/A</v>
      </c>
      <c r="V9" s="20" t="e">
        <f t="shared" ref="V9:V70" si="11">IF(AND($I9 = "X", $G9 &lt;&gt;  1), 1, "0")</f>
        <v>#N/A</v>
      </c>
      <c r="W9" s="20" t="e">
        <f t="shared" ref="W9:W70" si="12">IF($I9 = "Y", 1, "0")</f>
        <v>#N/A</v>
      </c>
      <c r="X9" s="20" t="e">
        <f t="shared" ref="X9:X70" si="13">IF(AND($I9 = "Y", $G9 &lt;&gt;  2), 1, "0")</f>
        <v>#N/A</v>
      </c>
      <c r="Y9" s="20" t="e">
        <f t="shared" ref="Y9:Y70" si="14">IF(AND($I9 = "Y", $G9 &lt;&gt;  1), 1, "0")</f>
        <v>#N/A</v>
      </c>
      <c r="Z9" s="20" t="e">
        <f t="shared" ref="Z9:Z70" si="15">IF($I9 = "Z", 1, "0")</f>
        <v>#N/A</v>
      </c>
      <c r="AA9" s="20" t="e">
        <f t="shared" ref="AA9:AA70" si="16">IF(AND($I9 = "Z", $G9 &lt;&gt;  2), 1, "0")</f>
        <v>#N/A</v>
      </c>
      <c r="AB9" s="20" t="e">
        <f t="shared" ref="AB9:AB70" si="17">IF(AND($I9 = "Z", $G9 &lt;&gt;  1), 1, "0")</f>
        <v>#N/A</v>
      </c>
      <c r="AM9" s="14"/>
      <c r="AN9" s="14"/>
    </row>
    <row r="10" spans="2:40" ht="13.5" thickBot="1" x14ac:dyDescent="0.25">
      <c r="C10" s="23" t="s">
        <v>221</v>
      </c>
      <c r="D10" s="25"/>
      <c r="F10" s="33"/>
      <c r="G10" s="57"/>
      <c r="H10" s="5" t="e">
        <f>VLOOKUP(F10,Sp_score_ref!$B$2:$D$1426,2,FALSE)</f>
        <v>#N/A</v>
      </c>
      <c r="I10" s="26" t="e">
        <f>VLOOKUP(F10,Sp_score_ref!$B$2:$D$1426,3,FALSE)</f>
        <v>#N/A</v>
      </c>
      <c r="J10" s="26"/>
      <c r="K10" s="20" t="e">
        <f t="shared" si="0"/>
        <v>#N/A</v>
      </c>
      <c r="L10" s="20" t="e">
        <f t="shared" si="1"/>
        <v>#N/A</v>
      </c>
      <c r="M10" s="20" t="e">
        <f t="shared" si="2"/>
        <v>#N/A</v>
      </c>
      <c r="N10" s="20" t="e">
        <f t="shared" si="3"/>
        <v>#N/A</v>
      </c>
      <c r="O10" s="20" t="e">
        <f t="shared" si="4"/>
        <v>#N/A</v>
      </c>
      <c r="P10" s="20" t="e">
        <f t="shared" si="5"/>
        <v>#N/A</v>
      </c>
      <c r="Q10" s="20" t="e">
        <f t="shared" si="6"/>
        <v>#N/A</v>
      </c>
      <c r="R10" s="20" t="e">
        <f t="shared" si="7"/>
        <v>#N/A</v>
      </c>
      <c r="S10" s="20" t="e">
        <f t="shared" si="8"/>
        <v>#N/A</v>
      </c>
      <c r="T10" s="20" t="e">
        <f t="shared" si="9"/>
        <v>#N/A</v>
      </c>
      <c r="U10" s="20" t="e">
        <f t="shared" si="10"/>
        <v>#N/A</v>
      </c>
      <c r="V10" s="20" t="e">
        <f t="shared" si="11"/>
        <v>#N/A</v>
      </c>
      <c r="W10" s="20" t="e">
        <f t="shared" si="12"/>
        <v>#N/A</v>
      </c>
      <c r="X10" s="20" t="e">
        <f t="shared" si="13"/>
        <v>#N/A</v>
      </c>
      <c r="Y10" s="20" t="e">
        <f t="shared" si="14"/>
        <v>#N/A</v>
      </c>
      <c r="Z10" s="20" t="e">
        <f t="shared" si="15"/>
        <v>#N/A</v>
      </c>
      <c r="AA10" s="20" t="e">
        <f t="shared" si="16"/>
        <v>#N/A</v>
      </c>
      <c r="AB10" s="20" t="e">
        <f t="shared" si="17"/>
        <v>#N/A</v>
      </c>
      <c r="AM10" s="14"/>
      <c r="AN10" s="14"/>
    </row>
    <row r="11" spans="2:40" ht="13.5" thickBot="1" x14ac:dyDescent="0.25">
      <c r="C11" s="23" t="s">
        <v>222</v>
      </c>
      <c r="D11" s="25"/>
      <c r="F11" s="33"/>
      <c r="G11" s="57"/>
      <c r="H11" s="5" t="e">
        <f>VLOOKUP(F11,Sp_score_ref!$B$2:$D$1426,2,FALSE)</f>
        <v>#N/A</v>
      </c>
      <c r="I11" s="26" t="e">
        <f>VLOOKUP(F11,Sp_score_ref!$B$2:$D$1426,3,FALSE)</f>
        <v>#N/A</v>
      </c>
      <c r="J11" s="26"/>
      <c r="K11" s="20" t="e">
        <f t="shared" si="0"/>
        <v>#N/A</v>
      </c>
      <c r="L11" s="20" t="e">
        <f t="shared" si="1"/>
        <v>#N/A</v>
      </c>
      <c r="M11" s="20" t="e">
        <f t="shared" si="2"/>
        <v>#N/A</v>
      </c>
      <c r="N11" s="20" t="e">
        <f t="shared" si="3"/>
        <v>#N/A</v>
      </c>
      <c r="O11" s="20" t="e">
        <f t="shared" si="4"/>
        <v>#N/A</v>
      </c>
      <c r="P11" s="20" t="e">
        <f t="shared" si="5"/>
        <v>#N/A</v>
      </c>
      <c r="Q11" s="20" t="e">
        <f t="shared" si="6"/>
        <v>#N/A</v>
      </c>
      <c r="R11" s="20" t="e">
        <f t="shared" si="7"/>
        <v>#N/A</v>
      </c>
      <c r="S11" s="20" t="e">
        <f t="shared" si="8"/>
        <v>#N/A</v>
      </c>
      <c r="T11" s="20" t="e">
        <f t="shared" si="9"/>
        <v>#N/A</v>
      </c>
      <c r="U11" s="20" t="e">
        <f t="shared" si="10"/>
        <v>#N/A</v>
      </c>
      <c r="V11" s="20" t="e">
        <f t="shared" si="11"/>
        <v>#N/A</v>
      </c>
      <c r="W11" s="20" t="e">
        <f t="shared" si="12"/>
        <v>#N/A</v>
      </c>
      <c r="X11" s="20" t="e">
        <f t="shared" si="13"/>
        <v>#N/A</v>
      </c>
      <c r="Y11" s="20" t="e">
        <f t="shared" si="14"/>
        <v>#N/A</v>
      </c>
      <c r="Z11" s="20" t="e">
        <f t="shared" si="15"/>
        <v>#N/A</v>
      </c>
      <c r="AA11" s="20" t="e">
        <f t="shared" si="16"/>
        <v>#N/A</v>
      </c>
      <c r="AB11" s="20" t="e">
        <f t="shared" si="17"/>
        <v>#N/A</v>
      </c>
      <c r="AM11" s="14"/>
      <c r="AN11" s="14"/>
    </row>
    <row r="12" spans="2:40" ht="13.5" thickBot="1" x14ac:dyDescent="0.25">
      <c r="F12" s="33"/>
      <c r="G12" s="57"/>
      <c r="H12" s="5" t="e">
        <f>VLOOKUP(F12,Sp_score_ref!$B$2:$D$1426,2,FALSE)</f>
        <v>#N/A</v>
      </c>
      <c r="I12" s="26" t="e">
        <f>VLOOKUP(F12,Sp_score_ref!$B$2:$D$1426,3,FALSE)</f>
        <v>#N/A</v>
      </c>
      <c r="J12" s="26"/>
      <c r="K12" s="20" t="e">
        <f t="shared" si="0"/>
        <v>#N/A</v>
      </c>
      <c r="L12" s="20" t="e">
        <f t="shared" si="1"/>
        <v>#N/A</v>
      </c>
      <c r="M12" s="20" t="e">
        <f t="shared" si="2"/>
        <v>#N/A</v>
      </c>
      <c r="N12" s="20" t="e">
        <f t="shared" si="3"/>
        <v>#N/A</v>
      </c>
      <c r="O12" s="20" t="e">
        <f t="shared" si="4"/>
        <v>#N/A</v>
      </c>
      <c r="P12" s="20" t="e">
        <f t="shared" si="5"/>
        <v>#N/A</v>
      </c>
      <c r="Q12" s="20" t="e">
        <f t="shared" si="6"/>
        <v>#N/A</v>
      </c>
      <c r="R12" s="20" t="e">
        <f t="shared" si="7"/>
        <v>#N/A</v>
      </c>
      <c r="S12" s="20" t="e">
        <f t="shared" si="8"/>
        <v>#N/A</v>
      </c>
      <c r="T12" s="20" t="e">
        <f t="shared" si="9"/>
        <v>#N/A</v>
      </c>
      <c r="U12" s="20" t="e">
        <f t="shared" si="10"/>
        <v>#N/A</v>
      </c>
      <c r="V12" s="20" t="e">
        <f t="shared" si="11"/>
        <v>#N/A</v>
      </c>
      <c r="W12" s="20" t="e">
        <f t="shared" si="12"/>
        <v>#N/A</v>
      </c>
      <c r="X12" s="20" t="e">
        <f t="shared" si="13"/>
        <v>#N/A</v>
      </c>
      <c r="Y12" s="20" t="e">
        <f t="shared" si="14"/>
        <v>#N/A</v>
      </c>
      <c r="Z12" s="20" t="e">
        <f t="shared" si="15"/>
        <v>#N/A</v>
      </c>
      <c r="AA12" s="20" t="e">
        <f t="shared" si="16"/>
        <v>#N/A</v>
      </c>
      <c r="AB12" s="20" t="e">
        <f t="shared" si="17"/>
        <v>#N/A</v>
      </c>
      <c r="AM12" s="14"/>
      <c r="AN12" s="14"/>
    </row>
    <row r="13" spans="2:40" ht="13.9" customHeight="1" thickBot="1" x14ac:dyDescent="0.25">
      <c r="B13" s="155" t="s">
        <v>2505</v>
      </c>
      <c r="C13" s="156"/>
      <c r="D13" s="157"/>
      <c r="F13" s="33"/>
      <c r="G13" s="57"/>
      <c r="H13" s="5" t="e">
        <f>VLOOKUP(F13,Sp_score_ref!$B$2:$D$1426,2,FALSE)</f>
        <v>#N/A</v>
      </c>
      <c r="I13" s="26" t="e">
        <f>VLOOKUP(F13,Sp_score_ref!$B$2:$D$1426,3,FALSE)</f>
        <v>#N/A</v>
      </c>
      <c r="J13" s="26"/>
      <c r="K13" s="20" t="e">
        <f t="shared" si="0"/>
        <v>#N/A</v>
      </c>
      <c r="L13" s="20" t="e">
        <f t="shared" si="1"/>
        <v>#N/A</v>
      </c>
      <c r="M13" s="20" t="e">
        <f t="shared" si="2"/>
        <v>#N/A</v>
      </c>
      <c r="N13" s="20" t="e">
        <f t="shared" si="3"/>
        <v>#N/A</v>
      </c>
      <c r="O13" s="20" t="e">
        <f t="shared" si="4"/>
        <v>#N/A</v>
      </c>
      <c r="P13" s="20" t="e">
        <f t="shared" si="5"/>
        <v>#N/A</v>
      </c>
      <c r="Q13" s="20" t="e">
        <f t="shared" si="6"/>
        <v>#N/A</v>
      </c>
      <c r="R13" s="20" t="e">
        <f t="shared" si="7"/>
        <v>#N/A</v>
      </c>
      <c r="S13" s="20" t="e">
        <f t="shared" si="8"/>
        <v>#N/A</v>
      </c>
      <c r="T13" s="20" t="e">
        <f t="shared" si="9"/>
        <v>#N/A</v>
      </c>
      <c r="U13" s="20" t="e">
        <f t="shared" si="10"/>
        <v>#N/A</v>
      </c>
      <c r="V13" s="20" t="e">
        <f t="shared" si="11"/>
        <v>#N/A</v>
      </c>
      <c r="W13" s="20" t="e">
        <f t="shared" si="12"/>
        <v>#N/A</v>
      </c>
      <c r="X13" s="20" t="e">
        <f t="shared" si="13"/>
        <v>#N/A</v>
      </c>
      <c r="Y13" s="20" t="e">
        <f t="shared" si="14"/>
        <v>#N/A</v>
      </c>
      <c r="Z13" s="20" t="e">
        <f t="shared" si="15"/>
        <v>#N/A</v>
      </c>
      <c r="AA13" s="20" t="e">
        <f t="shared" si="16"/>
        <v>#N/A</v>
      </c>
      <c r="AB13" s="20" t="e">
        <f t="shared" si="17"/>
        <v>#N/A</v>
      </c>
      <c r="AM13" s="14"/>
      <c r="AN13" s="14"/>
    </row>
    <row r="14" spans="2:40" ht="15" x14ac:dyDescent="0.2">
      <c r="B14" s="110">
        <v>1</v>
      </c>
      <c r="C14" s="106" t="s">
        <v>236</v>
      </c>
      <c r="D14" s="107"/>
      <c r="F14" s="33"/>
      <c r="G14" s="57"/>
      <c r="H14" s="5" t="e">
        <f>VLOOKUP(F14,Sp_score_ref!$B$2:$D$1426,2,FALSE)</f>
        <v>#N/A</v>
      </c>
      <c r="I14" s="26" t="e">
        <f>VLOOKUP(F14,Sp_score_ref!$B$2:$D$1426,3,FALSE)</f>
        <v>#N/A</v>
      </c>
      <c r="J14" s="26"/>
      <c r="K14" s="20" t="e">
        <f t="shared" si="0"/>
        <v>#N/A</v>
      </c>
      <c r="L14" s="20" t="e">
        <f t="shared" si="1"/>
        <v>#N/A</v>
      </c>
      <c r="M14" s="20" t="e">
        <f t="shared" si="2"/>
        <v>#N/A</v>
      </c>
      <c r="N14" s="20" t="e">
        <f t="shared" si="3"/>
        <v>#N/A</v>
      </c>
      <c r="O14" s="20" t="e">
        <f t="shared" si="4"/>
        <v>#N/A</v>
      </c>
      <c r="P14" s="20" t="e">
        <f t="shared" si="5"/>
        <v>#N/A</v>
      </c>
      <c r="Q14" s="20" t="e">
        <f t="shared" si="6"/>
        <v>#N/A</v>
      </c>
      <c r="R14" s="20" t="e">
        <f t="shared" si="7"/>
        <v>#N/A</v>
      </c>
      <c r="S14" s="20" t="e">
        <f t="shared" si="8"/>
        <v>#N/A</v>
      </c>
      <c r="T14" s="20" t="e">
        <f t="shared" si="9"/>
        <v>#N/A</v>
      </c>
      <c r="U14" s="20" t="e">
        <f t="shared" si="10"/>
        <v>#N/A</v>
      </c>
      <c r="V14" s="20" t="e">
        <f t="shared" si="11"/>
        <v>#N/A</v>
      </c>
      <c r="W14" s="20" t="e">
        <f t="shared" si="12"/>
        <v>#N/A</v>
      </c>
      <c r="X14" s="20" t="e">
        <f t="shared" si="13"/>
        <v>#N/A</v>
      </c>
      <c r="Y14" s="20" t="e">
        <f t="shared" si="14"/>
        <v>#N/A</v>
      </c>
      <c r="Z14" s="20" t="e">
        <f t="shared" si="15"/>
        <v>#N/A</v>
      </c>
      <c r="AA14" s="20" t="e">
        <f t="shared" si="16"/>
        <v>#N/A</v>
      </c>
      <c r="AB14" s="20" t="e">
        <f t="shared" si="17"/>
        <v>#N/A</v>
      </c>
      <c r="AM14" s="14"/>
      <c r="AN14" s="14"/>
    </row>
    <row r="15" spans="2:40" ht="15" x14ac:dyDescent="0.2">
      <c r="B15" s="111">
        <v>2</v>
      </c>
      <c r="C15" s="106" t="s">
        <v>237</v>
      </c>
      <c r="D15" s="107"/>
      <c r="F15" s="33"/>
      <c r="G15" s="57"/>
      <c r="H15" s="5" t="e">
        <f>VLOOKUP(F15,Sp_score_ref!$B$2:$D$1426,2,FALSE)</f>
        <v>#N/A</v>
      </c>
      <c r="I15" s="26" t="e">
        <f>VLOOKUP(F15,Sp_score_ref!$B$2:$D$1426,3,FALSE)</f>
        <v>#N/A</v>
      </c>
      <c r="J15" s="26"/>
      <c r="K15" s="20" t="e">
        <f t="shared" si="0"/>
        <v>#N/A</v>
      </c>
      <c r="L15" s="20" t="e">
        <f t="shared" si="1"/>
        <v>#N/A</v>
      </c>
      <c r="M15" s="20" t="e">
        <f t="shared" si="2"/>
        <v>#N/A</v>
      </c>
      <c r="N15" s="20" t="e">
        <f t="shared" si="3"/>
        <v>#N/A</v>
      </c>
      <c r="O15" s="20" t="e">
        <f t="shared" si="4"/>
        <v>#N/A</v>
      </c>
      <c r="P15" s="20" t="e">
        <f t="shared" si="5"/>
        <v>#N/A</v>
      </c>
      <c r="Q15" s="20" t="e">
        <f t="shared" si="6"/>
        <v>#N/A</v>
      </c>
      <c r="R15" s="20" t="e">
        <f t="shared" si="7"/>
        <v>#N/A</v>
      </c>
      <c r="S15" s="20" t="e">
        <f t="shared" si="8"/>
        <v>#N/A</v>
      </c>
      <c r="T15" s="20" t="e">
        <f t="shared" si="9"/>
        <v>#N/A</v>
      </c>
      <c r="U15" s="20" t="e">
        <f t="shared" si="10"/>
        <v>#N/A</v>
      </c>
      <c r="V15" s="20" t="e">
        <f t="shared" si="11"/>
        <v>#N/A</v>
      </c>
      <c r="W15" s="20" t="e">
        <f t="shared" si="12"/>
        <v>#N/A</v>
      </c>
      <c r="X15" s="20" t="e">
        <f t="shared" si="13"/>
        <v>#N/A</v>
      </c>
      <c r="Y15" s="20" t="e">
        <f t="shared" si="14"/>
        <v>#N/A</v>
      </c>
      <c r="Z15" s="20" t="e">
        <f t="shared" si="15"/>
        <v>#N/A</v>
      </c>
      <c r="AA15" s="20" t="e">
        <f t="shared" si="16"/>
        <v>#N/A</v>
      </c>
      <c r="AB15" s="20" t="e">
        <f t="shared" si="17"/>
        <v>#N/A</v>
      </c>
      <c r="AM15" s="14"/>
      <c r="AN15" s="14"/>
    </row>
    <row r="16" spans="2:40" ht="15" x14ac:dyDescent="0.2">
      <c r="B16" s="111">
        <v>3</v>
      </c>
      <c r="C16" s="106" t="s">
        <v>238</v>
      </c>
      <c r="D16" s="107"/>
      <c r="F16" s="33"/>
      <c r="G16" s="57"/>
      <c r="H16" s="5" t="e">
        <f>VLOOKUP(F16,Sp_score_ref!$B$2:$D$1426,2,FALSE)</f>
        <v>#N/A</v>
      </c>
      <c r="I16" s="26" t="e">
        <f>VLOOKUP(F16,Sp_score_ref!$B$2:$D$1426,3,FALSE)</f>
        <v>#N/A</v>
      </c>
      <c r="J16" s="26"/>
      <c r="K16" s="20" t="e">
        <f t="shared" si="0"/>
        <v>#N/A</v>
      </c>
      <c r="L16" s="20" t="e">
        <f t="shared" si="1"/>
        <v>#N/A</v>
      </c>
      <c r="M16" s="20" t="e">
        <f t="shared" si="2"/>
        <v>#N/A</v>
      </c>
      <c r="N16" s="20" t="e">
        <f t="shared" si="3"/>
        <v>#N/A</v>
      </c>
      <c r="O16" s="20" t="e">
        <f t="shared" si="4"/>
        <v>#N/A</v>
      </c>
      <c r="P16" s="20" t="e">
        <f t="shared" si="5"/>
        <v>#N/A</v>
      </c>
      <c r="Q16" s="20" t="e">
        <f t="shared" si="6"/>
        <v>#N/A</v>
      </c>
      <c r="R16" s="20" t="e">
        <f t="shared" si="7"/>
        <v>#N/A</v>
      </c>
      <c r="S16" s="20" t="e">
        <f t="shared" si="8"/>
        <v>#N/A</v>
      </c>
      <c r="T16" s="20" t="e">
        <f t="shared" si="9"/>
        <v>#N/A</v>
      </c>
      <c r="U16" s="20" t="e">
        <f t="shared" si="10"/>
        <v>#N/A</v>
      </c>
      <c r="V16" s="20" t="e">
        <f t="shared" si="11"/>
        <v>#N/A</v>
      </c>
      <c r="W16" s="20" t="e">
        <f t="shared" si="12"/>
        <v>#N/A</v>
      </c>
      <c r="X16" s="20" t="e">
        <f t="shared" si="13"/>
        <v>#N/A</v>
      </c>
      <c r="Y16" s="20" t="e">
        <f t="shared" si="14"/>
        <v>#N/A</v>
      </c>
      <c r="Z16" s="20" t="e">
        <f t="shared" si="15"/>
        <v>#N/A</v>
      </c>
      <c r="AA16" s="20" t="e">
        <f t="shared" si="16"/>
        <v>#N/A</v>
      </c>
      <c r="AB16" s="20" t="e">
        <f t="shared" si="17"/>
        <v>#N/A</v>
      </c>
      <c r="AM16" s="14"/>
      <c r="AN16" s="14"/>
    </row>
    <row r="17" spans="2:40" ht="15" x14ac:dyDescent="0.2">
      <c r="B17" s="111">
        <v>4</v>
      </c>
      <c r="C17" s="106" t="s">
        <v>2547</v>
      </c>
      <c r="D17" s="107"/>
      <c r="F17" s="33"/>
      <c r="G17" s="57"/>
      <c r="H17" s="5" t="e">
        <f>VLOOKUP(F17,Sp_score_ref!$B$2:$D$1426,2,FALSE)</f>
        <v>#N/A</v>
      </c>
      <c r="I17" s="26" t="e">
        <f>VLOOKUP(F17,Sp_score_ref!$B$2:$D$1426,3,FALSE)</f>
        <v>#N/A</v>
      </c>
      <c r="J17" s="26"/>
      <c r="K17" s="20" t="e">
        <f t="shared" si="0"/>
        <v>#N/A</v>
      </c>
      <c r="L17" s="20" t="e">
        <f t="shared" si="1"/>
        <v>#N/A</v>
      </c>
      <c r="M17" s="20" t="e">
        <f t="shared" si="2"/>
        <v>#N/A</v>
      </c>
      <c r="N17" s="20" t="e">
        <f t="shared" si="3"/>
        <v>#N/A</v>
      </c>
      <c r="O17" s="20" t="e">
        <f t="shared" si="4"/>
        <v>#N/A</v>
      </c>
      <c r="P17" s="20" t="e">
        <f t="shared" si="5"/>
        <v>#N/A</v>
      </c>
      <c r="Q17" s="20" t="e">
        <f t="shared" si="6"/>
        <v>#N/A</v>
      </c>
      <c r="R17" s="20" t="e">
        <f t="shared" si="7"/>
        <v>#N/A</v>
      </c>
      <c r="S17" s="20" t="e">
        <f t="shared" si="8"/>
        <v>#N/A</v>
      </c>
      <c r="T17" s="20" t="e">
        <f t="shared" si="9"/>
        <v>#N/A</v>
      </c>
      <c r="U17" s="20" t="e">
        <f t="shared" si="10"/>
        <v>#N/A</v>
      </c>
      <c r="V17" s="20" t="e">
        <f t="shared" si="11"/>
        <v>#N/A</v>
      </c>
      <c r="W17" s="20" t="e">
        <f t="shared" si="12"/>
        <v>#N/A</v>
      </c>
      <c r="X17" s="20" t="e">
        <f t="shared" si="13"/>
        <v>#N/A</v>
      </c>
      <c r="Y17" s="20" t="e">
        <f t="shared" si="14"/>
        <v>#N/A</v>
      </c>
      <c r="Z17" s="20" t="e">
        <f t="shared" si="15"/>
        <v>#N/A</v>
      </c>
      <c r="AA17" s="20" t="e">
        <f t="shared" si="16"/>
        <v>#N/A</v>
      </c>
      <c r="AB17" s="20" t="e">
        <f t="shared" si="17"/>
        <v>#N/A</v>
      </c>
      <c r="AM17" s="14"/>
      <c r="AN17" s="14"/>
    </row>
    <row r="18" spans="2:40" ht="15" x14ac:dyDescent="0.2">
      <c r="B18" s="111">
        <v>5</v>
      </c>
      <c r="C18" s="106" t="s">
        <v>2548</v>
      </c>
      <c r="D18" s="107"/>
      <c r="F18" s="33"/>
      <c r="G18" s="57"/>
      <c r="H18" s="5" t="e">
        <f>VLOOKUP(F18,Sp_score_ref!$B$2:$D$1426,2,FALSE)</f>
        <v>#N/A</v>
      </c>
      <c r="I18" s="26" t="e">
        <f>VLOOKUP(F18,Sp_score_ref!$B$2:$D$1426,3,FALSE)</f>
        <v>#N/A</v>
      </c>
      <c r="J18" s="26"/>
      <c r="K18" s="20" t="e">
        <f t="shared" si="0"/>
        <v>#N/A</v>
      </c>
      <c r="L18" s="20" t="e">
        <f t="shared" si="1"/>
        <v>#N/A</v>
      </c>
      <c r="M18" s="20" t="e">
        <f t="shared" si="2"/>
        <v>#N/A</v>
      </c>
      <c r="N18" s="20" t="e">
        <f t="shared" si="3"/>
        <v>#N/A</v>
      </c>
      <c r="O18" s="20" t="e">
        <f t="shared" si="4"/>
        <v>#N/A</v>
      </c>
      <c r="P18" s="20" t="e">
        <f t="shared" si="5"/>
        <v>#N/A</v>
      </c>
      <c r="Q18" s="20" t="e">
        <f t="shared" si="6"/>
        <v>#N/A</v>
      </c>
      <c r="R18" s="20" t="e">
        <f t="shared" si="7"/>
        <v>#N/A</v>
      </c>
      <c r="S18" s="20" t="e">
        <f t="shared" si="8"/>
        <v>#N/A</v>
      </c>
      <c r="T18" s="20" t="e">
        <f t="shared" si="9"/>
        <v>#N/A</v>
      </c>
      <c r="U18" s="20" t="e">
        <f t="shared" si="10"/>
        <v>#N/A</v>
      </c>
      <c r="V18" s="20" t="e">
        <f t="shared" si="11"/>
        <v>#N/A</v>
      </c>
      <c r="W18" s="20" t="e">
        <f t="shared" si="12"/>
        <v>#N/A</v>
      </c>
      <c r="X18" s="20" t="e">
        <f t="shared" si="13"/>
        <v>#N/A</v>
      </c>
      <c r="Y18" s="20" t="e">
        <f t="shared" si="14"/>
        <v>#N/A</v>
      </c>
      <c r="Z18" s="20" t="e">
        <f t="shared" si="15"/>
        <v>#N/A</v>
      </c>
      <c r="AA18" s="20" t="e">
        <f t="shared" si="16"/>
        <v>#N/A</v>
      </c>
      <c r="AB18" s="20" t="e">
        <f t="shared" si="17"/>
        <v>#N/A</v>
      </c>
      <c r="AM18" s="14"/>
      <c r="AN18" s="14"/>
    </row>
    <row r="19" spans="2:40" ht="15" x14ac:dyDescent="0.2">
      <c r="B19" s="111">
        <v>6</v>
      </c>
      <c r="C19" s="106" t="s">
        <v>2549</v>
      </c>
      <c r="D19" s="107"/>
      <c r="F19" s="33"/>
      <c r="G19" s="57"/>
      <c r="H19" s="5" t="e">
        <f>VLOOKUP(F19,Sp_score_ref!$B$2:$D$1426,2,FALSE)</f>
        <v>#N/A</v>
      </c>
      <c r="I19" s="26" t="e">
        <f>VLOOKUP(F19,Sp_score_ref!$B$2:$D$1426,3,FALSE)</f>
        <v>#N/A</v>
      </c>
      <c r="J19" s="26"/>
      <c r="K19" s="20" t="e">
        <f t="shared" si="0"/>
        <v>#N/A</v>
      </c>
      <c r="L19" s="20" t="e">
        <f t="shared" si="1"/>
        <v>#N/A</v>
      </c>
      <c r="M19" s="20" t="e">
        <f t="shared" si="2"/>
        <v>#N/A</v>
      </c>
      <c r="N19" s="20" t="e">
        <f t="shared" si="3"/>
        <v>#N/A</v>
      </c>
      <c r="O19" s="20" t="e">
        <f t="shared" si="4"/>
        <v>#N/A</v>
      </c>
      <c r="P19" s="20" t="e">
        <f t="shared" si="5"/>
        <v>#N/A</v>
      </c>
      <c r="Q19" s="20" t="e">
        <f t="shared" si="6"/>
        <v>#N/A</v>
      </c>
      <c r="R19" s="20" t="e">
        <f t="shared" si="7"/>
        <v>#N/A</v>
      </c>
      <c r="S19" s="20" t="e">
        <f t="shared" si="8"/>
        <v>#N/A</v>
      </c>
      <c r="T19" s="20" t="e">
        <f t="shared" si="9"/>
        <v>#N/A</v>
      </c>
      <c r="U19" s="20" t="e">
        <f t="shared" si="10"/>
        <v>#N/A</v>
      </c>
      <c r="V19" s="20" t="e">
        <f t="shared" si="11"/>
        <v>#N/A</v>
      </c>
      <c r="W19" s="20" t="e">
        <f t="shared" si="12"/>
        <v>#N/A</v>
      </c>
      <c r="X19" s="20" t="e">
        <f t="shared" si="13"/>
        <v>#N/A</v>
      </c>
      <c r="Y19" s="20" t="e">
        <f t="shared" si="14"/>
        <v>#N/A</v>
      </c>
      <c r="Z19" s="20" t="e">
        <f t="shared" si="15"/>
        <v>#N/A</v>
      </c>
      <c r="AA19" s="20" t="e">
        <f t="shared" si="16"/>
        <v>#N/A</v>
      </c>
      <c r="AB19" s="20" t="e">
        <f t="shared" si="17"/>
        <v>#N/A</v>
      </c>
      <c r="AM19" s="14"/>
      <c r="AN19" s="14"/>
    </row>
    <row r="20" spans="2:40" ht="15.75" thickBot="1" x14ac:dyDescent="0.25">
      <c r="B20" s="112">
        <v>7</v>
      </c>
      <c r="C20" s="108" t="s">
        <v>2550</v>
      </c>
      <c r="D20" s="109"/>
      <c r="F20" s="33"/>
      <c r="G20" s="57"/>
      <c r="H20" s="5" t="e">
        <f>VLOOKUP(F20,Sp_score_ref!$B$2:$D$1426,2,FALSE)</f>
        <v>#N/A</v>
      </c>
      <c r="I20" s="26" t="e">
        <f>VLOOKUP(F20,Sp_score_ref!$B$2:$D$1426,3,FALSE)</f>
        <v>#N/A</v>
      </c>
      <c r="J20" s="26"/>
      <c r="K20" s="20" t="e">
        <f t="shared" si="0"/>
        <v>#N/A</v>
      </c>
      <c r="L20" s="20" t="e">
        <f t="shared" si="1"/>
        <v>#N/A</v>
      </c>
      <c r="M20" s="20" t="e">
        <f t="shared" si="2"/>
        <v>#N/A</v>
      </c>
      <c r="N20" s="20" t="e">
        <f t="shared" si="3"/>
        <v>#N/A</v>
      </c>
      <c r="O20" s="20" t="e">
        <f t="shared" si="4"/>
        <v>#N/A</v>
      </c>
      <c r="P20" s="20" t="e">
        <f t="shared" si="5"/>
        <v>#N/A</v>
      </c>
      <c r="Q20" s="20" t="e">
        <f t="shared" si="6"/>
        <v>#N/A</v>
      </c>
      <c r="R20" s="20" t="e">
        <f t="shared" si="7"/>
        <v>#N/A</v>
      </c>
      <c r="S20" s="20" t="e">
        <f t="shared" si="8"/>
        <v>#N/A</v>
      </c>
      <c r="T20" s="20" t="e">
        <f t="shared" si="9"/>
        <v>#N/A</v>
      </c>
      <c r="U20" s="20" t="e">
        <f t="shared" si="10"/>
        <v>#N/A</v>
      </c>
      <c r="V20" s="20" t="e">
        <f t="shared" si="11"/>
        <v>#N/A</v>
      </c>
      <c r="W20" s="20" t="e">
        <f t="shared" si="12"/>
        <v>#N/A</v>
      </c>
      <c r="X20" s="20" t="e">
        <f t="shared" si="13"/>
        <v>#N/A</v>
      </c>
      <c r="Y20" s="20" t="e">
        <f t="shared" si="14"/>
        <v>#N/A</v>
      </c>
      <c r="Z20" s="20" t="e">
        <f t="shared" si="15"/>
        <v>#N/A</v>
      </c>
      <c r="AA20" s="20" t="e">
        <f t="shared" si="16"/>
        <v>#N/A</v>
      </c>
      <c r="AB20" s="20" t="e">
        <f t="shared" si="17"/>
        <v>#N/A</v>
      </c>
      <c r="AM20" s="14"/>
      <c r="AN20" s="14"/>
    </row>
    <row r="21" spans="2:40" ht="13.5" thickBot="1" x14ac:dyDescent="0.25">
      <c r="F21" s="33"/>
      <c r="G21" s="57"/>
      <c r="H21" s="5" t="e">
        <f>VLOOKUP(F21,Sp_score_ref!$B$2:$D$1426,2,FALSE)</f>
        <v>#N/A</v>
      </c>
      <c r="I21" s="26" t="e">
        <f>VLOOKUP(F21,Sp_score_ref!$B$2:$D$1426,3,FALSE)</f>
        <v>#N/A</v>
      </c>
      <c r="J21" s="26"/>
      <c r="K21" s="20" t="e">
        <f t="shared" si="0"/>
        <v>#N/A</v>
      </c>
      <c r="L21" s="20" t="e">
        <f t="shared" si="1"/>
        <v>#N/A</v>
      </c>
      <c r="M21" s="20" t="e">
        <f t="shared" si="2"/>
        <v>#N/A</v>
      </c>
      <c r="N21" s="20" t="e">
        <f t="shared" si="3"/>
        <v>#N/A</v>
      </c>
      <c r="O21" s="20" t="e">
        <f t="shared" si="4"/>
        <v>#N/A</v>
      </c>
      <c r="P21" s="20" t="e">
        <f t="shared" si="5"/>
        <v>#N/A</v>
      </c>
      <c r="Q21" s="20" t="e">
        <f t="shared" si="6"/>
        <v>#N/A</v>
      </c>
      <c r="R21" s="20" t="e">
        <f t="shared" si="7"/>
        <v>#N/A</v>
      </c>
      <c r="S21" s="20" t="e">
        <f t="shared" si="8"/>
        <v>#N/A</v>
      </c>
      <c r="T21" s="20" t="e">
        <f t="shared" si="9"/>
        <v>#N/A</v>
      </c>
      <c r="U21" s="20" t="e">
        <f t="shared" si="10"/>
        <v>#N/A</v>
      </c>
      <c r="V21" s="20" t="e">
        <f t="shared" si="11"/>
        <v>#N/A</v>
      </c>
      <c r="W21" s="20" t="e">
        <f t="shared" si="12"/>
        <v>#N/A</v>
      </c>
      <c r="X21" s="20" t="e">
        <f t="shared" si="13"/>
        <v>#N/A</v>
      </c>
      <c r="Y21" s="20" t="e">
        <f t="shared" si="14"/>
        <v>#N/A</v>
      </c>
      <c r="Z21" s="20" t="e">
        <f t="shared" si="15"/>
        <v>#N/A</v>
      </c>
      <c r="AA21" s="20" t="e">
        <f t="shared" si="16"/>
        <v>#N/A</v>
      </c>
      <c r="AB21" s="20" t="e">
        <f t="shared" si="17"/>
        <v>#N/A</v>
      </c>
      <c r="AM21" s="14"/>
      <c r="AN21" s="14"/>
    </row>
    <row r="22" spans="2:40" x14ac:dyDescent="0.2">
      <c r="B22" s="126" t="s">
        <v>261</v>
      </c>
      <c r="C22" s="127"/>
      <c r="D22" s="128"/>
      <c r="F22" s="33"/>
      <c r="G22" s="57"/>
      <c r="H22" s="5" t="e">
        <f>VLOOKUP(F22,Sp_score_ref!$B$2:$D$1426,2,FALSE)</f>
        <v>#N/A</v>
      </c>
      <c r="I22" s="26" t="e">
        <f>VLOOKUP(F22,Sp_score_ref!$B$2:$D$1426,3,FALSE)</f>
        <v>#N/A</v>
      </c>
      <c r="J22" s="26"/>
      <c r="K22" s="20" t="e">
        <f t="shared" si="0"/>
        <v>#N/A</v>
      </c>
      <c r="L22" s="20" t="e">
        <f t="shared" si="1"/>
        <v>#N/A</v>
      </c>
      <c r="M22" s="20" t="e">
        <f t="shared" si="2"/>
        <v>#N/A</v>
      </c>
      <c r="N22" s="20" t="e">
        <f t="shared" si="3"/>
        <v>#N/A</v>
      </c>
      <c r="O22" s="20" t="e">
        <f t="shared" si="4"/>
        <v>#N/A</v>
      </c>
      <c r="P22" s="20" t="e">
        <f t="shared" si="5"/>
        <v>#N/A</v>
      </c>
      <c r="Q22" s="20" t="e">
        <f t="shared" si="6"/>
        <v>#N/A</v>
      </c>
      <c r="R22" s="20" t="e">
        <f t="shared" si="7"/>
        <v>#N/A</v>
      </c>
      <c r="S22" s="20" t="e">
        <f t="shared" si="8"/>
        <v>#N/A</v>
      </c>
      <c r="T22" s="20" t="e">
        <f t="shared" si="9"/>
        <v>#N/A</v>
      </c>
      <c r="U22" s="20" t="e">
        <f t="shared" si="10"/>
        <v>#N/A</v>
      </c>
      <c r="V22" s="20" t="e">
        <f t="shared" si="11"/>
        <v>#N/A</v>
      </c>
      <c r="W22" s="20" t="e">
        <f t="shared" si="12"/>
        <v>#N/A</v>
      </c>
      <c r="X22" s="20" t="e">
        <f t="shared" si="13"/>
        <v>#N/A</v>
      </c>
      <c r="Y22" s="20" t="e">
        <f t="shared" si="14"/>
        <v>#N/A</v>
      </c>
      <c r="Z22" s="20" t="e">
        <f t="shared" si="15"/>
        <v>#N/A</v>
      </c>
      <c r="AA22" s="20" t="e">
        <f t="shared" si="16"/>
        <v>#N/A</v>
      </c>
      <c r="AB22" s="20" t="e">
        <f t="shared" si="17"/>
        <v>#N/A</v>
      </c>
      <c r="AM22" s="14"/>
      <c r="AN22" s="14"/>
    </row>
    <row r="23" spans="2:40" ht="13.5" thickBot="1" x14ac:dyDescent="0.25">
      <c r="B23" s="129"/>
      <c r="C23" s="130"/>
      <c r="D23" s="131"/>
      <c r="F23" s="33"/>
      <c r="G23" s="57"/>
      <c r="H23" s="5" t="e">
        <f>VLOOKUP(F23,Sp_score_ref!$B$2:$D$1426,2,FALSE)</f>
        <v>#N/A</v>
      </c>
      <c r="I23" s="26" t="e">
        <f>VLOOKUP(F23,Sp_score_ref!$B$2:$D$1426,3,FALSE)</f>
        <v>#N/A</v>
      </c>
      <c r="J23" s="26"/>
      <c r="K23" s="20" t="e">
        <f t="shared" si="0"/>
        <v>#N/A</v>
      </c>
      <c r="L23" s="20" t="e">
        <f t="shared" si="1"/>
        <v>#N/A</v>
      </c>
      <c r="M23" s="20" t="e">
        <f t="shared" si="2"/>
        <v>#N/A</v>
      </c>
      <c r="N23" s="20" t="e">
        <f t="shared" si="3"/>
        <v>#N/A</v>
      </c>
      <c r="O23" s="20" t="e">
        <f t="shared" si="4"/>
        <v>#N/A</v>
      </c>
      <c r="P23" s="20" t="e">
        <f t="shared" si="5"/>
        <v>#N/A</v>
      </c>
      <c r="Q23" s="20" t="e">
        <f t="shared" si="6"/>
        <v>#N/A</v>
      </c>
      <c r="R23" s="20" t="e">
        <f t="shared" si="7"/>
        <v>#N/A</v>
      </c>
      <c r="S23" s="20" t="e">
        <f t="shared" si="8"/>
        <v>#N/A</v>
      </c>
      <c r="T23" s="20" t="e">
        <f t="shared" si="9"/>
        <v>#N/A</v>
      </c>
      <c r="U23" s="20" t="e">
        <f t="shared" si="10"/>
        <v>#N/A</v>
      </c>
      <c r="V23" s="20" t="e">
        <f t="shared" si="11"/>
        <v>#N/A</v>
      </c>
      <c r="W23" s="20" t="e">
        <f t="shared" si="12"/>
        <v>#N/A</v>
      </c>
      <c r="X23" s="20" t="e">
        <f t="shared" si="13"/>
        <v>#N/A</v>
      </c>
      <c r="Y23" s="20" t="e">
        <f t="shared" si="14"/>
        <v>#N/A</v>
      </c>
      <c r="Z23" s="20" t="e">
        <f t="shared" si="15"/>
        <v>#N/A</v>
      </c>
      <c r="AA23" s="20" t="e">
        <f t="shared" si="16"/>
        <v>#N/A</v>
      </c>
      <c r="AB23" s="20" t="e">
        <f t="shared" si="17"/>
        <v>#N/A</v>
      </c>
      <c r="AM23" s="14"/>
      <c r="AN23" s="14"/>
    </row>
    <row r="24" spans="2:40" ht="13.15" customHeight="1" thickBot="1" x14ac:dyDescent="0.25">
      <c r="E24"/>
      <c r="F24" s="33"/>
      <c r="G24" s="57"/>
      <c r="H24" s="5" t="e">
        <f>VLOOKUP(F24,Sp_score_ref!$B$2:$D$1426,2,FALSE)</f>
        <v>#N/A</v>
      </c>
      <c r="I24" s="26" t="e">
        <f>VLOOKUP(F24,Sp_score_ref!$B$2:$D$1426,3,FALSE)</f>
        <v>#N/A</v>
      </c>
      <c r="J24" s="26"/>
      <c r="K24" s="20" t="e">
        <f t="shared" si="0"/>
        <v>#N/A</v>
      </c>
      <c r="L24" s="20" t="e">
        <f t="shared" si="1"/>
        <v>#N/A</v>
      </c>
      <c r="M24" s="20" t="e">
        <f t="shared" si="2"/>
        <v>#N/A</v>
      </c>
      <c r="N24" s="20" t="e">
        <f t="shared" si="3"/>
        <v>#N/A</v>
      </c>
      <c r="O24" s="20" t="e">
        <f t="shared" si="4"/>
        <v>#N/A</v>
      </c>
      <c r="P24" s="20" t="e">
        <f t="shared" si="5"/>
        <v>#N/A</v>
      </c>
      <c r="Q24" s="20" t="e">
        <f t="shared" si="6"/>
        <v>#N/A</v>
      </c>
      <c r="R24" s="20" t="e">
        <f t="shared" si="7"/>
        <v>#N/A</v>
      </c>
      <c r="S24" s="20" t="e">
        <f t="shared" si="8"/>
        <v>#N/A</v>
      </c>
      <c r="T24" s="20" t="e">
        <f t="shared" si="9"/>
        <v>#N/A</v>
      </c>
      <c r="U24" s="20" t="e">
        <f t="shared" si="10"/>
        <v>#N/A</v>
      </c>
      <c r="V24" s="20" t="e">
        <f t="shared" si="11"/>
        <v>#N/A</v>
      </c>
      <c r="W24" s="20" t="e">
        <f t="shared" si="12"/>
        <v>#N/A</v>
      </c>
      <c r="X24" s="20" t="e">
        <f t="shared" si="13"/>
        <v>#N/A</v>
      </c>
      <c r="Y24" s="20" t="e">
        <f t="shared" si="14"/>
        <v>#N/A</v>
      </c>
      <c r="Z24" s="20" t="e">
        <f t="shared" si="15"/>
        <v>#N/A</v>
      </c>
      <c r="AA24" s="20" t="e">
        <f t="shared" si="16"/>
        <v>#N/A</v>
      </c>
      <c r="AB24" s="20" t="e">
        <f t="shared" si="17"/>
        <v>#N/A</v>
      </c>
      <c r="AM24" s="14"/>
      <c r="AN24" s="14"/>
    </row>
    <row r="25" spans="2:40" ht="13.9" customHeight="1" x14ac:dyDescent="0.2">
      <c r="B25" s="132" t="s">
        <v>2535</v>
      </c>
      <c r="C25" s="133"/>
      <c r="D25" s="134"/>
      <c r="F25" s="33"/>
      <c r="G25" s="57"/>
      <c r="H25" s="5" t="e">
        <f>VLOOKUP(F25,Sp_score_ref!$B$2:$D$1426,2,FALSE)</f>
        <v>#N/A</v>
      </c>
      <c r="I25" s="26" t="e">
        <f>VLOOKUP(F25,Sp_score_ref!$B$2:$D$1426,3,FALSE)</f>
        <v>#N/A</v>
      </c>
      <c r="J25" s="26"/>
      <c r="K25" s="20" t="e">
        <f t="shared" si="0"/>
        <v>#N/A</v>
      </c>
      <c r="L25" s="20" t="e">
        <f t="shared" si="1"/>
        <v>#N/A</v>
      </c>
      <c r="M25" s="20" t="e">
        <f t="shared" si="2"/>
        <v>#N/A</v>
      </c>
      <c r="N25" s="20" t="e">
        <f t="shared" si="3"/>
        <v>#N/A</v>
      </c>
      <c r="O25" s="20" t="e">
        <f t="shared" si="4"/>
        <v>#N/A</v>
      </c>
      <c r="P25" s="20" t="e">
        <f t="shared" si="5"/>
        <v>#N/A</v>
      </c>
      <c r="Q25" s="20" t="e">
        <f t="shared" si="6"/>
        <v>#N/A</v>
      </c>
      <c r="R25" s="20" t="e">
        <f t="shared" si="7"/>
        <v>#N/A</v>
      </c>
      <c r="S25" s="20" t="e">
        <f t="shared" si="8"/>
        <v>#N/A</v>
      </c>
      <c r="T25" s="20" t="e">
        <f t="shared" si="9"/>
        <v>#N/A</v>
      </c>
      <c r="U25" s="20" t="e">
        <f t="shared" si="10"/>
        <v>#N/A</v>
      </c>
      <c r="V25" s="20" t="e">
        <f t="shared" si="11"/>
        <v>#N/A</v>
      </c>
      <c r="W25" s="20" t="e">
        <f t="shared" si="12"/>
        <v>#N/A</v>
      </c>
      <c r="X25" s="20" t="e">
        <f t="shared" si="13"/>
        <v>#N/A</v>
      </c>
      <c r="Y25" s="20" t="e">
        <f t="shared" si="14"/>
        <v>#N/A</v>
      </c>
      <c r="Z25" s="20" t="e">
        <f t="shared" si="15"/>
        <v>#N/A</v>
      </c>
      <c r="AA25" s="20" t="e">
        <f t="shared" si="16"/>
        <v>#N/A</v>
      </c>
      <c r="AB25" s="20" t="e">
        <f t="shared" si="17"/>
        <v>#N/A</v>
      </c>
      <c r="AM25" s="14"/>
      <c r="AN25" s="14"/>
    </row>
    <row r="26" spans="2:40" ht="13.9" customHeight="1" thickBot="1" x14ac:dyDescent="0.25">
      <c r="B26" s="135"/>
      <c r="C26" s="136"/>
      <c r="D26" s="137"/>
      <c r="F26" s="33"/>
      <c r="G26" s="57"/>
      <c r="H26" s="5" t="e">
        <f>VLOOKUP(F26,Sp_score_ref!$B$2:$D$1426,2,FALSE)</f>
        <v>#N/A</v>
      </c>
      <c r="I26" s="26" t="e">
        <f>VLOOKUP(F26,Sp_score_ref!$B$2:$D$1426,3,FALSE)</f>
        <v>#N/A</v>
      </c>
      <c r="J26" s="26"/>
      <c r="K26" s="20" t="e">
        <f t="shared" si="0"/>
        <v>#N/A</v>
      </c>
      <c r="L26" s="20" t="e">
        <f t="shared" si="1"/>
        <v>#N/A</v>
      </c>
      <c r="M26" s="20" t="e">
        <f t="shared" si="2"/>
        <v>#N/A</v>
      </c>
      <c r="N26" s="20" t="e">
        <f t="shared" si="3"/>
        <v>#N/A</v>
      </c>
      <c r="O26" s="20" t="e">
        <f t="shared" si="4"/>
        <v>#N/A</v>
      </c>
      <c r="P26" s="20" t="e">
        <f t="shared" si="5"/>
        <v>#N/A</v>
      </c>
      <c r="Q26" s="20" t="e">
        <f t="shared" si="6"/>
        <v>#N/A</v>
      </c>
      <c r="R26" s="20" t="e">
        <f t="shared" si="7"/>
        <v>#N/A</v>
      </c>
      <c r="S26" s="20" t="e">
        <f t="shared" si="8"/>
        <v>#N/A</v>
      </c>
      <c r="T26" s="20" t="e">
        <f t="shared" si="9"/>
        <v>#N/A</v>
      </c>
      <c r="U26" s="20" t="e">
        <f t="shared" si="10"/>
        <v>#N/A</v>
      </c>
      <c r="V26" s="20" t="e">
        <f t="shared" si="11"/>
        <v>#N/A</v>
      </c>
      <c r="W26" s="20" t="e">
        <f t="shared" si="12"/>
        <v>#N/A</v>
      </c>
      <c r="X26" s="20" t="e">
        <f t="shared" si="13"/>
        <v>#N/A</v>
      </c>
      <c r="Y26" s="20" t="e">
        <f t="shared" si="14"/>
        <v>#N/A</v>
      </c>
      <c r="Z26" s="20" t="e">
        <f t="shared" si="15"/>
        <v>#N/A</v>
      </c>
      <c r="AA26" s="20" t="e">
        <f t="shared" si="16"/>
        <v>#N/A</v>
      </c>
      <c r="AB26" s="20" t="e">
        <f t="shared" si="17"/>
        <v>#N/A</v>
      </c>
      <c r="AM26" s="14"/>
      <c r="AN26" s="14"/>
    </row>
    <row r="27" spans="2:40" ht="13.5" thickBot="1" x14ac:dyDescent="0.25">
      <c r="F27" s="33"/>
      <c r="G27" s="57"/>
      <c r="H27" s="5" t="e">
        <f>VLOOKUP(F27,Sp_score_ref!$B$2:$D$1426,2,FALSE)</f>
        <v>#N/A</v>
      </c>
      <c r="I27" s="26" t="e">
        <f>VLOOKUP(F27,Sp_score_ref!$B$2:$D$1426,3,FALSE)</f>
        <v>#N/A</v>
      </c>
      <c r="J27" s="26"/>
      <c r="K27" s="20" t="e">
        <f t="shared" si="0"/>
        <v>#N/A</v>
      </c>
      <c r="L27" s="20" t="e">
        <f t="shared" si="1"/>
        <v>#N/A</v>
      </c>
      <c r="M27" s="20" t="e">
        <f t="shared" si="2"/>
        <v>#N/A</v>
      </c>
      <c r="N27" s="20" t="e">
        <f t="shared" si="3"/>
        <v>#N/A</v>
      </c>
      <c r="O27" s="20" t="e">
        <f t="shared" si="4"/>
        <v>#N/A</v>
      </c>
      <c r="P27" s="20" t="e">
        <f t="shared" si="5"/>
        <v>#N/A</v>
      </c>
      <c r="Q27" s="20" t="e">
        <f t="shared" si="6"/>
        <v>#N/A</v>
      </c>
      <c r="R27" s="20" t="e">
        <f t="shared" si="7"/>
        <v>#N/A</v>
      </c>
      <c r="S27" s="20" t="e">
        <f t="shared" si="8"/>
        <v>#N/A</v>
      </c>
      <c r="T27" s="20" t="e">
        <f t="shared" si="9"/>
        <v>#N/A</v>
      </c>
      <c r="U27" s="20" t="e">
        <f t="shared" si="10"/>
        <v>#N/A</v>
      </c>
      <c r="V27" s="20" t="e">
        <f t="shared" si="11"/>
        <v>#N/A</v>
      </c>
      <c r="W27" s="20" t="e">
        <f t="shared" si="12"/>
        <v>#N/A</v>
      </c>
      <c r="X27" s="20" t="e">
        <f t="shared" si="13"/>
        <v>#N/A</v>
      </c>
      <c r="Y27" s="20" t="e">
        <f t="shared" si="14"/>
        <v>#N/A</v>
      </c>
      <c r="Z27" s="20" t="e">
        <f t="shared" si="15"/>
        <v>#N/A</v>
      </c>
      <c r="AA27" s="20" t="e">
        <f t="shared" si="16"/>
        <v>#N/A</v>
      </c>
      <c r="AB27" s="20" t="e">
        <f t="shared" si="17"/>
        <v>#N/A</v>
      </c>
      <c r="AM27" s="14"/>
      <c r="AN27" s="14"/>
    </row>
    <row r="28" spans="2:40" ht="14.45" customHeight="1" x14ac:dyDescent="0.2">
      <c r="B28" s="166" t="s">
        <v>2211</v>
      </c>
      <c r="C28" s="167"/>
      <c r="D28" s="168"/>
      <c r="F28" s="33"/>
      <c r="G28" s="57"/>
      <c r="H28" s="5" t="e">
        <f>VLOOKUP(F28,Sp_score_ref!$B$2:$D$1426,2,FALSE)</f>
        <v>#N/A</v>
      </c>
      <c r="I28" s="26" t="e">
        <f>VLOOKUP(F28,Sp_score_ref!$B$2:$D$1426,3,FALSE)</f>
        <v>#N/A</v>
      </c>
      <c r="J28" s="26"/>
      <c r="K28" s="20" t="e">
        <f t="shared" si="0"/>
        <v>#N/A</v>
      </c>
      <c r="L28" s="20" t="e">
        <f t="shared" si="1"/>
        <v>#N/A</v>
      </c>
      <c r="M28" s="20" t="e">
        <f t="shared" si="2"/>
        <v>#N/A</v>
      </c>
      <c r="N28" s="20" t="e">
        <f t="shared" si="3"/>
        <v>#N/A</v>
      </c>
      <c r="O28" s="20" t="e">
        <f t="shared" si="4"/>
        <v>#N/A</v>
      </c>
      <c r="P28" s="20" t="e">
        <f t="shared" si="5"/>
        <v>#N/A</v>
      </c>
      <c r="Q28" s="20" t="e">
        <f t="shared" si="6"/>
        <v>#N/A</v>
      </c>
      <c r="R28" s="20" t="e">
        <f t="shared" si="7"/>
        <v>#N/A</v>
      </c>
      <c r="S28" s="20" t="e">
        <f t="shared" si="8"/>
        <v>#N/A</v>
      </c>
      <c r="T28" s="20" t="e">
        <f t="shared" si="9"/>
        <v>#N/A</v>
      </c>
      <c r="U28" s="20" t="e">
        <f t="shared" si="10"/>
        <v>#N/A</v>
      </c>
      <c r="V28" s="20" t="e">
        <f t="shared" si="11"/>
        <v>#N/A</v>
      </c>
      <c r="W28" s="20" t="e">
        <f t="shared" si="12"/>
        <v>#N/A</v>
      </c>
      <c r="X28" s="20" t="e">
        <f t="shared" si="13"/>
        <v>#N/A</v>
      </c>
      <c r="Y28" s="20" t="e">
        <f t="shared" si="14"/>
        <v>#N/A</v>
      </c>
      <c r="Z28" s="20" t="e">
        <f t="shared" si="15"/>
        <v>#N/A</v>
      </c>
      <c r="AA28" s="20" t="e">
        <f t="shared" si="16"/>
        <v>#N/A</v>
      </c>
      <c r="AB28" s="20" t="e">
        <f t="shared" si="17"/>
        <v>#N/A</v>
      </c>
      <c r="AM28" s="14"/>
      <c r="AN28" s="14"/>
    </row>
    <row r="29" spans="2:40" ht="13.5" thickBot="1" x14ac:dyDescent="0.25">
      <c r="B29" s="169"/>
      <c r="C29" s="170"/>
      <c r="D29" s="171"/>
      <c r="F29" s="33"/>
      <c r="G29" s="57"/>
      <c r="H29" s="5" t="e">
        <f>VLOOKUP(F29,Sp_score_ref!$B$2:$D$1426,2,FALSE)</f>
        <v>#N/A</v>
      </c>
      <c r="I29" s="26" t="e">
        <f>VLOOKUP(F29,Sp_score_ref!$B$2:$D$1426,3,FALSE)</f>
        <v>#N/A</v>
      </c>
      <c r="J29" s="26"/>
      <c r="K29" s="20" t="e">
        <f t="shared" si="0"/>
        <v>#N/A</v>
      </c>
      <c r="L29" s="20" t="e">
        <f t="shared" si="1"/>
        <v>#N/A</v>
      </c>
      <c r="M29" s="20" t="e">
        <f t="shared" si="2"/>
        <v>#N/A</v>
      </c>
      <c r="N29" s="20" t="e">
        <f t="shared" si="3"/>
        <v>#N/A</v>
      </c>
      <c r="O29" s="20" t="e">
        <f t="shared" si="4"/>
        <v>#N/A</v>
      </c>
      <c r="P29" s="20" t="e">
        <f t="shared" si="5"/>
        <v>#N/A</v>
      </c>
      <c r="Q29" s="20" t="e">
        <f t="shared" si="6"/>
        <v>#N/A</v>
      </c>
      <c r="R29" s="20" t="e">
        <f t="shared" si="7"/>
        <v>#N/A</v>
      </c>
      <c r="S29" s="20" t="e">
        <f t="shared" si="8"/>
        <v>#N/A</v>
      </c>
      <c r="T29" s="20" t="e">
        <f t="shared" si="9"/>
        <v>#N/A</v>
      </c>
      <c r="U29" s="20" t="e">
        <f t="shared" si="10"/>
        <v>#N/A</v>
      </c>
      <c r="V29" s="20" t="e">
        <f t="shared" si="11"/>
        <v>#N/A</v>
      </c>
      <c r="W29" s="20" t="e">
        <f t="shared" si="12"/>
        <v>#N/A</v>
      </c>
      <c r="X29" s="20" t="e">
        <f t="shared" si="13"/>
        <v>#N/A</v>
      </c>
      <c r="Y29" s="20" t="e">
        <f t="shared" si="14"/>
        <v>#N/A</v>
      </c>
      <c r="Z29" s="20" t="e">
        <f t="shared" si="15"/>
        <v>#N/A</v>
      </c>
      <c r="AA29" s="20" t="e">
        <f t="shared" si="16"/>
        <v>#N/A</v>
      </c>
      <c r="AB29" s="20" t="e">
        <f t="shared" si="17"/>
        <v>#N/A</v>
      </c>
      <c r="AM29" s="14"/>
      <c r="AN29" s="14"/>
    </row>
    <row r="30" spans="2:40" ht="13.5" thickBot="1" x14ac:dyDescent="0.25">
      <c r="F30" s="33"/>
      <c r="G30" s="57"/>
      <c r="H30" s="5" t="e">
        <f>VLOOKUP(F30,Sp_score_ref!$B$2:$D$1426,2,FALSE)</f>
        <v>#N/A</v>
      </c>
      <c r="I30" s="26" t="e">
        <f>VLOOKUP(F30,Sp_score_ref!$B$2:$D$1426,3,FALSE)</f>
        <v>#N/A</v>
      </c>
      <c r="J30" s="26"/>
      <c r="K30" s="20" t="e">
        <f t="shared" si="0"/>
        <v>#N/A</v>
      </c>
      <c r="L30" s="20" t="e">
        <f t="shared" si="1"/>
        <v>#N/A</v>
      </c>
      <c r="M30" s="20" t="e">
        <f t="shared" si="2"/>
        <v>#N/A</v>
      </c>
      <c r="N30" s="20" t="e">
        <f t="shared" si="3"/>
        <v>#N/A</v>
      </c>
      <c r="O30" s="20" t="e">
        <f t="shared" si="4"/>
        <v>#N/A</v>
      </c>
      <c r="P30" s="20" t="e">
        <f t="shared" si="5"/>
        <v>#N/A</v>
      </c>
      <c r="Q30" s="20" t="e">
        <f t="shared" si="6"/>
        <v>#N/A</v>
      </c>
      <c r="R30" s="20" t="e">
        <f t="shared" si="7"/>
        <v>#N/A</v>
      </c>
      <c r="S30" s="20" t="e">
        <f t="shared" si="8"/>
        <v>#N/A</v>
      </c>
      <c r="T30" s="20" t="e">
        <f t="shared" si="9"/>
        <v>#N/A</v>
      </c>
      <c r="U30" s="20" t="e">
        <f t="shared" si="10"/>
        <v>#N/A</v>
      </c>
      <c r="V30" s="20" t="e">
        <f t="shared" si="11"/>
        <v>#N/A</v>
      </c>
      <c r="W30" s="20" t="e">
        <f t="shared" si="12"/>
        <v>#N/A</v>
      </c>
      <c r="X30" s="20" t="e">
        <f t="shared" si="13"/>
        <v>#N/A</v>
      </c>
      <c r="Y30" s="20" t="e">
        <f t="shared" si="14"/>
        <v>#N/A</v>
      </c>
      <c r="Z30" s="20" t="e">
        <f t="shared" si="15"/>
        <v>#N/A</v>
      </c>
      <c r="AA30" s="20" t="e">
        <f t="shared" si="16"/>
        <v>#N/A</v>
      </c>
      <c r="AB30" s="20" t="e">
        <f t="shared" si="17"/>
        <v>#N/A</v>
      </c>
      <c r="AM30" s="14"/>
      <c r="AN30" s="14"/>
    </row>
    <row r="31" spans="2:40" ht="16.5" thickBot="1" x14ac:dyDescent="0.3">
      <c r="C31" s="145" t="s">
        <v>2539</v>
      </c>
      <c r="D31" s="146"/>
      <c r="F31" s="33"/>
      <c r="G31" s="57"/>
      <c r="H31" s="5" t="e">
        <f>VLOOKUP(F31,Sp_score_ref!$B$2:$D$1426,2,FALSE)</f>
        <v>#N/A</v>
      </c>
      <c r="I31" s="26" t="e">
        <f>VLOOKUP(F31,Sp_score_ref!$B$2:$D$1426,3,FALSE)</f>
        <v>#N/A</v>
      </c>
      <c r="J31" s="26"/>
      <c r="K31" s="20" t="e">
        <f t="shared" si="0"/>
        <v>#N/A</v>
      </c>
      <c r="L31" s="20" t="e">
        <f t="shared" si="1"/>
        <v>#N/A</v>
      </c>
      <c r="M31" s="20" t="e">
        <f t="shared" si="2"/>
        <v>#N/A</v>
      </c>
      <c r="N31" s="20" t="e">
        <f t="shared" si="3"/>
        <v>#N/A</v>
      </c>
      <c r="O31" s="20" t="e">
        <f t="shared" si="4"/>
        <v>#N/A</v>
      </c>
      <c r="P31" s="20" t="e">
        <f t="shared" si="5"/>
        <v>#N/A</v>
      </c>
      <c r="Q31" s="20" t="e">
        <f t="shared" si="6"/>
        <v>#N/A</v>
      </c>
      <c r="R31" s="20" t="e">
        <f t="shared" si="7"/>
        <v>#N/A</v>
      </c>
      <c r="S31" s="20" t="e">
        <f t="shared" si="8"/>
        <v>#N/A</v>
      </c>
      <c r="T31" s="20" t="e">
        <f t="shared" si="9"/>
        <v>#N/A</v>
      </c>
      <c r="U31" s="20" t="e">
        <f t="shared" si="10"/>
        <v>#N/A</v>
      </c>
      <c r="V31" s="20" t="e">
        <f t="shared" si="11"/>
        <v>#N/A</v>
      </c>
      <c r="W31" s="20" t="e">
        <f t="shared" si="12"/>
        <v>#N/A</v>
      </c>
      <c r="X31" s="20" t="e">
        <f t="shared" si="13"/>
        <v>#N/A</v>
      </c>
      <c r="Y31" s="20" t="e">
        <f t="shared" si="14"/>
        <v>#N/A</v>
      </c>
      <c r="Z31" s="20" t="e">
        <f t="shared" si="15"/>
        <v>#N/A</v>
      </c>
      <c r="AA31" s="20" t="e">
        <f t="shared" si="16"/>
        <v>#N/A</v>
      </c>
      <c r="AB31" s="20" t="e">
        <f t="shared" si="17"/>
        <v>#N/A</v>
      </c>
      <c r="AM31" s="14"/>
      <c r="AN31" s="14"/>
    </row>
    <row r="32" spans="2:40" ht="13.5" thickBot="1" x14ac:dyDescent="0.25">
      <c r="C32" s="102" t="s">
        <v>2445</v>
      </c>
      <c r="D32" s="25"/>
      <c r="F32" s="33"/>
      <c r="G32" s="57"/>
      <c r="H32" s="5" t="e">
        <f>VLOOKUP(F32,Sp_score_ref!$B$2:$D$1426,2,FALSE)</f>
        <v>#N/A</v>
      </c>
      <c r="I32" s="26" t="e">
        <f>VLOOKUP(F32,Sp_score_ref!$B$2:$D$1426,3,FALSE)</f>
        <v>#N/A</v>
      </c>
      <c r="J32" s="26"/>
      <c r="K32" s="20" t="e">
        <f t="shared" si="0"/>
        <v>#N/A</v>
      </c>
      <c r="L32" s="20" t="e">
        <f t="shared" si="1"/>
        <v>#N/A</v>
      </c>
      <c r="M32" s="20" t="e">
        <f t="shared" si="2"/>
        <v>#N/A</v>
      </c>
      <c r="N32" s="20" t="e">
        <f t="shared" si="3"/>
        <v>#N/A</v>
      </c>
      <c r="O32" s="20" t="e">
        <f t="shared" si="4"/>
        <v>#N/A</v>
      </c>
      <c r="P32" s="20" t="e">
        <f t="shared" si="5"/>
        <v>#N/A</v>
      </c>
      <c r="Q32" s="20" t="e">
        <f t="shared" si="6"/>
        <v>#N/A</v>
      </c>
      <c r="R32" s="20" t="e">
        <f t="shared" si="7"/>
        <v>#N/A</v>
      </c>
      <c r="S32" s="20" t="e">
        <f t="shared" si="8"/>
        <v>#N/A</v>
      </c>
      <c r="T32" s="20" t="e">
        <f t="shared" si="9"/>
        <v>#N/A</v>
      </c>
      <c r="U32" s="20" t="e">
        <f t="shared" si="10"/>
        <v>#N/A</v>
      </c>
      <c r="V32" s="20" t="e">
        <f t="shared" si="11"/>
        <v>#N/A</v>
      </c>
      <c r="W32" s="20" t="e">
        <f t="shared" si="12"/>
        <v>#N/A</v>
      </c>
      <c r="X32" s="20" t="e">
        <f t="shared" si="13"/>
        <v>#N/A</v>
      </c>
      <c r="Y32" s="20" t="e">
        <f t="shared" si="14"/>
        <v>#N/A</v>
      </c>
      <c r="Z32" s="20" t="e">
        <f t="shared" si="15"/>
        <v>#N/A</v>
      </c>
      <c r="AA32" s="20" t="e">
        <f t="shared" si="16"/>
        <v>#N/A</v>
      </c>
      <c r="AB32" s="20" t="e">
        <f t="shared" si="17"/>
        <v>#N/A</v>
      </c>
      <c r="AM32" s="14"/>
      <c r="AN32" s="14"/>
    </row>
    <row r="33" spans="3:40" ht="13.5" thickBot="1" x14ac:dyDescent="0.25">
      <c r="C33" s="102" t="s">
        <v>2446</v>
      </c>
      <c r="D33" s="25"/>
      <c r="F33" s="33"/>
      <c r="G33" s="57"/>
      <c r="H33" s="5" t="e">
        <f>VLOOKUP(F33,Sp_score_ref!$B$2:$D$1426,2,FALSE)</f>
        <v>#N/A</v>
      </c>
      <c r="I33" s="26" t="e">
        <f>VLOOKUP(F33,Sp_score_ref!$B$2:$D$1426,3,FALSE)</f>
        <v>#N/A</v>
      </c>
      <c r="J33" s="26"/>
      <c r="K33" s="20" t="e">
        <f t="shared" si="0"/>
        <v>#N/A</v>
      </c>
      <c r="L33" s="20" t="e">
        <f t="shared" si="1"/>
        <v>#N/A</v>
      </c>
      <c r="M33" s="20" t="e">
        <f t="shared" si="2"/>
        <v>#N/A</v>
      </c>
      <c r="N33" s="20" t="e">
        <f t="shared" si="3"/>
        <v>#N/A</v>
      </c>
      <c r="O33" s="20" t="e">
        <f t="shared" si="4"/>
        <v>#N/A</v>
      </c>
      <c r="P33" s="20" t="e">
        <f t="shared" si="5"/>
        <v>#N/A</v>
      </c>
      <c r="Q33" s="20" t="e">
        <f t="shared" si="6"/>
        <v>#N/A</v>
      </c>
      <c r="R33" s="20" t="e">
        <f t="shared" si="7"/>
        <v>#N/A</v>
      </c>
      <c r="S33" s="20" t="e">
        <f t="shared" si="8"/>
        <v>#N/A</v>
      </c>
      <c r="T33" s="20" t="e">
        <f t="shared" si="9"/>
        <v>#N/A</v>
      </c>
      <c r="U33" s="20" t="e">
        <f t="shared" si="10"/>
        <v>#N/A</v>
      </c>
      <c r="V33" s="20" t="e">
        <f t="shared" si="11"/>
        <v>#N/A</v>
      </c>
      <c r="W33" s="20" t="e">
        <f t="shared" si="12"/>
        <v>#N/A</v>
      </c>
      <c r="X33" s="20" t="e">
        <f t="shared" si="13"/>
        <v>#N/A</v>
      </c>
      <c r="Y33" s="20" t="e">
        <f t="shared" si="14"/>
        <v>#N/A</v>
      </c>
      <c r="Z33" s="20" t="e">
        <f t="shared" si="15"/>
        <v>#N/A</v>
      </c>
      <c r="AA33" s="20" t="e">
        <f t="shared" si="16"/>
        <v>#N/A</v>
      </c>
      <c r="AB33" s="20" t="e">
        <f t="shared" si="17"/>
        <v>#N/A</v>
      </c>
      <c r="AM33" s="14"/>
      <c r="AN33" s="14"/>
    </row>
    <row r="34" spans="3:40" ht="13.5" thickBot="1" x14ac:dyDescent="0.25">
      <c r="C34" s="102" t="s">
        <v>2447</v>
      </c>
      <c r="D34" s="25"/>
      <c r="F34" s="33"/>
      <c r="G34" s="57"/>
      <c r="H34" s="5" t="e">
        <f>VLOOKUP(F34,Sp_score_ref!$B$2:$D$1426,2,FALSE)</f>
        <v>#N/A</v>
      </c>
      <c r="I34" s="26" t="e">
        <f>VLOOKUP(F34,Sp_score_ref!$B$2:$D$1426,3,FALSE)</f>
        <v>#N/A</v>
      </c>
      <c r="J34" s="26"/>
      <c r="K34" s="20" t="e">
        <f t="shared" si="0"/>
        <v>#N/A</v>
      </c>
      <c r="L34" s="20" t="e">
        <f t="shared" si="1"/>
        <v>#N/A</v>
      </c>
      <c r="M34" s="20" t="e">
        <f t="shared" si="2"/>
        <v>#N/A</v>
      </c>
      <c r="N34" s="20" t="e">
        <f t="shared" si="3"/>
        <v>#N/A</v>
      </c>
      <c r="O34" s="20" t="e">
        <f t="shared" si="4"/>
        <v>#N/A</v>
      </c>
      <c r="P34" s="20" t="e">
        <f t="shared" si="5"/>
        <v>#N/A</v>
      </c>
      <c r="Q34" s="20" t="e">
        <f t="shared" si="6"/>
        <v>#N/A</v>
      </c>
      <c r="R34" s="20" t="e">
        <f t="shared" si="7"/>
        <v>#N/A</v>
      </c>
      <c r="S34" s="20" t="e">
        <f t="shared" si="8"/>
        <v>#N/A</v>
      </c>
      <c r="T34" s="20" t="e">
        <f t="shared" si="9"/>
        <v>#N/A</v>
      </c>
      <c r="U34" s="20" t="e">
        <f t="shared" si="10"/>
        <v>#N/A</v>
      </c>
      <c r="V34" s="20" t="e">
        <f t="shared" si="11"/>
        <v>#N/A</v>
      </c>
      <c r="W34" s="20" t="e">
        <f t="shared" si="12"/>
        <v>#N/A</v>
      </c>
      <c r="X34" s="20" t="e">
        <f t="shared" si="13"/>
        <v>#N/A</v>
      </c>
      <c r="Y34" s="20" t="e">
        <f t="shared" si="14"/>
        <v>#N/A</v>
      </c>
      <c r="Z34" s="20" t="e">
        <f t="shared" si="15"/>
        <v>#N/A</v>
      </c>
      <c r="AA34" s="20" t="e">
        <f t="shared" si="16"/>
        <v>#N/A</v>
      </c>
      <c r="AB34" s="20" t="e">
        <f t="shared" si="17"/>
        <v>#N/A</v>
      </c>
      <c r="AM34" s="14"/>
      <c r="AN34" s="14"/>
    </row>
    <row r="35" spans="3:40" ht="13.5" thickBot="1" x14ac:dyDescent="0.25">
      <c r="C35" s="102" t="s">
        <v>2444</v>
      </c>
      <c r="D35" s="25"/>
      <c r="F35" s="33"/>
      <c r="G35" s="57"/>
      <c r="H35" s="5" t="e">
        <f>VLOOKUP(F35,Sp_score_ref!$B$2:$D$1426,2,FALSE)</f>
        <v>#N/A</v>
      </c>
      <c r="I35" s="26" t="e">
        <f>VLOOKUP(F35,Sp_score_ref!$B$2:$D$1426,3,FALSE)</f>
        <v>#N/A</v>
      </c>
      <c r="J35" s="26"/>
      <c r="K35" s="20" t="e">
        <f t="shared" si="0"/>
        <v>#N/A</v>
      </c>
      <c r="L35" s="20" t="e">
        <f t="shared" si="1"/>
        <v>#N/A</v>
      </c>
      <c r="M35" s="20" t="e">
        <f t="shared" si="2"/>
        <v>#N/A</v>
      </c>
      <c r="N35" s="20" t="e">
        <f t="shared" si="3"/>
        <v>#N/A</v>
      </c>
      <c r="O35" s="20" t="e">
        <f t="shared" si="4"/>
        <v>#N/A</v>
      </c>
      <c r="P35" s="20" t="e">
        <f t="shared" si="5"/>
        <v>#N/A</v>
      </c>
      <c r="Q35" s="20" t="e">
        <f t="shared" si="6"/>
        <v>#N/A</v>
      </c>
      <c r="R35" s="20" t="e">
        <f t="shared" si="7"/>
        <v>#N/A</v>
      </c>
      <c r="S35" s="20" t="e">
        <f t="shared" si="8"/>
        <v>#N/A</v>
      </c>
      <c r="T35" s="20" t="e">
        <f t="shared" si="9"/>
        <v>#N/A</v>
      </c>
      <c r="U35" s="20" t="e">
        <f t="shared" si="10"/>
        <v>#N/A</v>
      </c>
      <c r="V35" s="20" t="e">
        <f t="shared" si="11"/>
        <v>#N/A</v>
      </c>
      <c r="W35" s="20" t="e">
        <f t="shared" si="12"/>
        <v>#N/A</v>
      </c>
      <c r="X35" s="20" t="e">
        <f t="shared" si="13"/>
        <v>#N/A</v>
      </c>
      <c r="Y35" s="20" t="e">
        <f t="shared" si="14"/>
        <v>#N/A</v>
      </c>
      <c r="Z35" s="20" t="e">
        <f t="shared" si="15"/>
        <v>#N/A</v>
      </c>
      <c r="AA35" s="20" t="e">
        <f t="shared" si="16"/>
        <v>#N/A</v>
      </c>
      <c r="AB35" s="20" t="e">
        <f t="shared" si="17"/>
        <v>#N/A</v>
      </c>
      <c r="AM35" s="14"/>
      <c r="AN35" s="14"/>
    </row>
    <row r="36" spans="3:40" ht="13.5" thickBot="1" x14ac:dyDescent="0.25">
      <c r="C36" s="102" t="s">
        <v>2448</v>
      </c>
      <c r="D36" s="25"/>
      <c r="F36" s="33"/>
      <c r="G36" s="57"/>
      <c r="H36" s="5" t="e">
        <f>VLOOKUP(F36,Sp_score_ref!$B$2:$D$1426,2,FALSE)</f>
        <v>#N/A</v>
      </c>
      <c r="I36" s="26" t="e">
        <f>VLOOKUP(F36,Sp_score_ref!$B$2:$D$1426,3,FALSE)</f>
        <v>#N/A</v>
      </c>
      <c r="J36" s="26"/>
      <c r="K36" s="20" t="e">
        <f t="shared" si="0"/>
        <v>#N/A</v>
      </c>
      <c r="L36" s="20" t="e">
        <f t="shared" si="1"/>
        <v>#N/A</v>
      </c>
      <c r="M36" s="20" t="e">
        <f t="shared" si="2"/>
        <v>#N/A</v>
      </c>
      <c r="N36" s="20" t="e">
        <f t="shared" si="3"/>
        <v>#N/A</v>
      </c>
      <c r="O36" s="20" t="e">
        <f t="shared" si="4"/>
        <v>#N/A</v>
      </c>
      <c r="P36" s="20" t="e">
        <f t="shared" si="5"/>
        <v>#N/A</v>
      </c>
      <c r="Q36" s="20" t="e">
        <f t="shared" si="6"/>
        <v>#N/A</v>
      </c>
      <c r="R36" s="20" t="e">
        <f t="shared" si="7"/>
        <v>#N/A</v>
      </c>
      <c r="S36" s="20" t="e">
        <f t="shared" si="8"/>
        <v>#N/A</v>
      </c>
      <c r="T36" s="20" t="e">
        <f t="shared" si="9"/>
        <v>#N/A</v>
      </c>
      <c r="U36" s="20" t="e">
        <f t="shared" si="10"/>
        <v>#N/A</v>
      </c>
      <c r="V36" s="20" t="e">
        <f t="shared" si="11"/>
        <v>#N/A</v>
      </c>
      <c r="W36" s="20" t="e">
        <f t="shared" si="12"/>
        <v>#N/A</v>
      </c>
      <c r="X36" s="20" t="e">
        <f t="shared" si="13"/>
        <v>#N/A</v>
      </c>
      <c r="Y36" s="20" t="e">
        <f t="shared" si="14"/>
        <v>#N/A</v>
      </c>
      <c r="Z36" s="20" t="e">
        <f t="shared" si="15"/>
        <v>#N/A</v>
      </c>
      <c r="AA36" s="20" t="e">
        <f t="shared" si="16"/>
        <v>#N/A</v>
      </c>
      <c r="AB36" s="20" t="e">
        <f t="shared" si="17"/>
        <v>#N/A</v>
      </c>
      <c r="AM36" s="14"/>
      <c r="AN36" s="14"/>
    </row>
    <row r="37" spans="3:40" ht="13.5" thickBot="1" x14ac:dyDescent="0.25">
      <c r="C37" s="102" t="s">
        <v>2449</v>
      </c>
      <c r="D37" s="25"/>
      <c r="F37" s="33"/>
      <c r="G37" s="57"/>
      <c r="H37" s="5" t="e">
        <f>VLOOKUP(F37,Sp_score_ref!$B$2:$D$1426,2,FALSE)</f>
        <v>#N/A</v>
      </c>
      <c r="I37" s="26" t="e">
        <f>VLOOKUP(F37,Sp_score_ref!$B$2:$D$1426,3,FALSE)</f>
        <v>#N/A</v>
      </c>
      <c r="J37" s="26"/>
      <c r="K37" s="20" t="e">
        <f t="shared" si="0"/>
        <v>#N/A</v>
      </c>
      <c r="L37" s="20" t="e">
        <f t="shared" si="1"/>
        <v>#N/A</v>
      </c>
      <c r="M37" s="20" t="e">
        <f t="shared" si="2"/>
        <v>#N/A</v>
      </c>
      <c r="N37" s="20" t="e">
        <f t="shared" si="3"/>
        <v>#N/A</v>
      </c>
      <c r="O37" s="20" t="e">
        <f t="shared" si="4"/>
        <v>#N/A</v>
      </c>
      <c r="P37" s="20" t="e">
        <f t="shared" si="5"/>
        <v>#N/A</v>
      </c>
      <c r="Q37" s="20" t="e">
        <f t="shared" si="6"/>
        <v>#N/A</v>
      </c>
      <c r="R37" s="20" t="e">
        <f t="shared" si="7"/>
        <v>#N/A</v>
      </c>
      <c r="S37" s="20" t="e">
        <f t="shared" si="8"/>
        <v>#N/A</v>
      </c>
      <c r="T37" s="20" t="e">
        <f t="shared" si="9"/>
        <v>#N/A</v>
      </c>
      <c r="U37" s="20" t="e">
        <f t="shared" si="10"/>
        <v>#N/A</v>
      </c>
      <c r="V37" s="20" t="e">
        <f t="shared" si="11"/>
        <v>#N/A</v>
      </c>
      <c r="W37" s="20" t="e">
        <f t="shared" si="12"/>
        <v>#N/A</v>
      </c>
      <c r="X37" s="20" t="e">
        <f t="shared" si="13"/>
        <v>#N/A</v>
      </c>
      <c r="Y37" s="20" t="e">
        <f t="shared" si="14"/>
        <v>#N/A</v>
      </c>
      <c r="Z37" s="20" t="e">
        <f t="shared" si="15"/>
        <v>#N/A</v>
      </c>
      <c r="AA37" s="20" t="e">
        <f t="shared" si="16"/>
        <v>#N/A</v>
      </c>
      <c r="AB37" s="20" t="e">
        <f t="shared" si="17"/>
        <v>#N/A</v>
      </c>
      <c r="AM37" s="14"/>
      <c r="AN37" s="14"/>
    </row>
    <row r="38" spans="3:40" ht="13.5" thickBot="1" x14ac:dyDescent="0.25">
      <c r="C38" s="102" t="s">
        <v>2453</v>
      </c>
      <c r="D38" s="25"/>
      <c r="F38" s="33"/>
      <c r="G38" s="57"/>
      <c r="H38" s="5" t="e">
        <f>VLOOKUP(F38,Sp_score_ref!$B$2:$D$1426,2,FALSE)</f>
        <v>#N/A</v>
      </c>
      <c r="I38" s="26" t="e">
        <f>VLOOKUP(F38,Sp_score_ref!$B$2:$D$1426,3,FALSE)</f>
        <v>#N/A</v>
      </c>
      <c r="J38" s="26"/>
      <c r="K38" s="20" t="e">
        <f t="shared" si="0"/>
        <v>#N/A</v>
      </c>
      <c r="L38" s="20" t="e">
        <f t="shared" si="1"/>
        <v>#N/A</v>
      </c>
      <c r="M38" s="20" t="e">
        <f t="shared" si="2"/>
        <v>#N/A</v>
      </c>
      <c r="N38" s="20" t="e">
        <f t="shared" si="3"/>
        <v>#N/A</v>
      </c>
      <c r="O38" s="20" t="e">
        <f t="shared" si="4"/>
        <v>#N/A</v>
      </c>
      <c r="P38" s="20" t="e">
        <f t="shared" si="5"/>
        <v>#N/A</v>
      </c>
      <c r="Q38" s="20" t="e">
        <f t="shared" si="6"/>
        <v>#N/A</v>
      </c>
      <c r="R38" s="20" t="e">
        <f t="shared" si="7"/>
        <v>#N/A</v>
      </c>
      <c r="S38" s="20" t="e">
        <f t="shared" si="8"/>
        <v>#N/A</v>
      </c>
      <c r="T38" s="20" t="e">
        <f t="shared" si="9"/>
        <v>#N/A</v>
      </c>
      <c r="U38" s="20" t="e">
        <f t="shared" si="10"/>
        <v>#N/A</v>
      </c>
      <c r="V38" s="20" t="e">
        <f t="shared" si="11"/>
        <v>#N/A</v>
      </c>
      <c r="W38" s="20" t="e">
        <f t="shared" si="12"/>
        <v>#N/A</v>
      </c>
      <c r="X38" s="20" t="e">
        <f t="shared" si="13"/>
        <v>#N/A</v>
      </c>
      <c r="Y38" s="20" t="e">
        <f t="shared" si="14"/>
        <v>#N/A</v>
      </c>
      <c r="Z38" s="20" t="e">
        <f t="shared" si="15"/>
        <v>#N/A</v>
      </c>
      <c r="AA38" s="20" t="e">
        <f t="shared" si="16"/>
        <v>#N/A</v>
      </c>
      <c r="AB38" s="20" t="e">
        <f t="shared" si="17"/>
        <v>#N/A</v>
      </c>
      <c r="AM38" s="14"/>
      <c r="AN38" s="14"/>
    </row>
    <row r="39" spans="3:40" ht="13.15" customHeight="1" thickBot="1" x14ac:dyDescent="0.25">
      <c r="C39" s="102" t="s">
        <v>2454</v>
      </c>
      <c r="D39" s="25"/>
      <c r="F39" s="33"/>
      <c r="G39" s="57"/>
      <c r="H39" s="5" t="e">
        <f>VLOOKUP(F39,Sp_score_ref!$B$2:$D$1426,2,FALSE)</f>
        <v>#N/A</v>
      </c>
      <c r="I39" s="26" t="e">
        <f>VLOOKUP(F39,Sp_score_ref!$B$2:$D$1426,3,FALSE)</f>
        <v>#N/A</v>
      </c>
      <c r="J39" s="26"/>
      <c r="K39" s="20" t="e">
        <f t="shared" si="0"/>
        <v>#N/A</v>
      </c>
      <c r="L39" s="20" t="e">
        <f t="shared" si="1"/>
        <v>#N/A</v>
      </c>
      <c r="M39" s="20" t="e">
        <f t="shared" si="2"/>
        <v>#N/A</v>
      </c>
      <c r="N39" s="20" t="e">
        <f t="shared" si="3"/>
        <v>#N/A</v>
      </c>
      <c r="O39" s="20" t="e">
        <f t="shared" si="4"/>
        <v>#N/A</v>
      </c>
      <c r="P39" s="20" t="e">
        <f t="shared" si="5"/>
        <v>#N/A</v>
      </c>
      <c r="Q39" s="20" t="e">
        <f t="shared" si="6"/>
        <v>#N/A</v>
      </c>
      <c r="R39" s="20" t="e">
        <f t="shared" si="7"/>
        <v>#N/A</v>
      </c>
      <c r="S39" s="20" t="e">
        <f t="shared" si="8"/>
        <v>#N/A</v>
      </c>
      <c r="T39" s="20" t="e">
        <f t="shared" si="9"/>
        <v>#N/A</v>
      </c>
      <c r="U39" s="20" t="e">
        <f t="shared" si="10"/>
        <v>#N/A</v>
      </c>
      <c r="V39" s="20" t="e">
        <f t="shared" si="11"/>
        <v>#N/A</v>
      </c>
      <c r="W39" s="20" t="e">
        <f t="shared" si="12"/>
        <v>#N/A</v>
      </c>
      <c r="X39" s="20" t="e">
        <f t="shared" si="13"/>
        <v>#N/A</v>
      </c>
      <c r="Y39" s="20" t="e">
        <f t="shared" si="14"/>
        <v>#N/A</v>
      </c>
      <c r="Z39" s="20" t="e">
        <f t="shared" si="15"/>
        <v>#N/A</v>
      </c>
      <c r="AA39" s="20" t="e">
        <f t="shared" si="16"/>
        <v>#N/A</v>
      </c>
      <c r="AB39" s="20" t="e">
        <f t="shared" si="17"/>
        <v>#N/A</v>
      </c>
      <c r="AM39" s="14"/>
      <c r="AN39" s="14"/>
    </row>
    <row r="40" spans="3:40" ht="13.5" thickBot="1" x14ac:dyDescent="0.25">
      <c r="C40" s="102" t="s">
        <v>2455</v>
      </c>
      <c r="D40" s="25"/>
      <c r="F40" s="33"/>
      <c r="G40" s="57"/>
      <c r="H40" s="5" t="e">
        <f>VLOOKUP(F40,Sp_score_ref!$B$2:$D$1426,2,FALSE)</f>
        <v>#N/A</v>
      </c>
      <c r="I40" s="26" t="e">
        <f>VLOOKUP(F40,Sp_score_ref!$B$2:$D$1426,3,FALSE)</f>
        <v>#N/A</v>
      </c>
      <c r="J40" s="26"/>
      <c r="K40" s="20" t="e">
        <f t="shared" si="0"/>
        <v>#N/A</v>
      </c>
      <c r="L40" s="20" t="e">
        <f t="shared" si="1"/>
        <v>#N/A</v>
      </c>
      <c r="M40" s="20" t="e">
        <f t="shared" si="2"/>
        <v>#N/A</v>
      </c>
      <c r="N40" s="20" t="e">
        <f t="shared" si="3"/>
        <v>#N/A</v>
      </c>
      <c r="O40" s="20" t="e">
        <f t="shared" si="4"/>
        <v>#N/A</v>
      </c>
      <c r="P40" s="20" t="e">
        <f t="shared" si="5"/>
        <v>#N/A</v>
      </c>
      <c r="Q40" s="20" t="e">
        <f t="shared" si="6"/>
        <v>#N/A</v>
      </c>
      <c r="R40" s="20" t="e">
        <f t="shared" si="7"/>
        <v>#N/A</v>
      </c>
      <c r="S40" s="20" t="e">
        <f t="shared" si="8"/>
        <v>#N/A</v>
      </c>
      <c r="T40" s="20" t="e">
        <f t="shared" si="9"/>
        <v>#N/A</v>
      </c>
      <c r="U40" s="20" t="e">
        <f t="shared" si="10"/>
        <v>#N/A</v>
      </c>
      <c r="V40" s="20" t="e">
        <f t="shared" si="11"/>
        <v>#N/A</v>
      </c>
      <c r="W40" s="20" t="e">
        <f t="shared" si="12"/>
        <v>#N/A</v>
      </c>
      <c r="X40" s="20" t="e">
        <f t="shared" si="13"/>
        <v>#N/A</v>
      </c>
      <c r="Y40" s="20" t="e">
        <f t="shared" si="14"/>
        <v>#N/A</v>
      </c>
      <c r="Z40" s="20" t="e">
        <f t="shared" si="15"/>
        <v>#N/A</v>
      </c>
      <c r="AA40" s="20" t="e">
        <f t="shared" si="16"/>
        <v>#N/A</v>
      </c>
      <c r="AB40" s="20" t="e">
        <f t="shared" si="17"/>
        <v>#N/A</v>
      </c>
      <c r="AM40" s="14"/>
      <c r="AN40" s="14"/>
    </row>
    <row r="41" spans="3:40" ht="13.15" customHeight="1" x14ac:dyDescent="0.2">
      <c r="C41" s="138" t="s">
        <v>2456</v>
      </c>
      <c r="D41" s="139"/>
      <c r="F41" s="33"/>
      <c r="G41" s="57"/>
      <c r="H41" s="5" t="e">
        <f>VLOOKUP(F41,Sp_score_ref!$B$2:$D$1426,2,FALSE)</f>
        <v>#N/A</v>
      </c>
      <c r="I41" s="26" t="e">
        <f>VLOOKUP(F41,Sp_score_ref!$B$2:$D$1426,3,FALSE)</f>
        <v>#N/A</v>
      </c>
      <c r="J41" s="26"/>
      <c r="K41" s="20" t="e">
        <f t="shared" si="0"/>
        <v>#N/A</v>
      </c>
      <c r="L41" s="20" t="e">
        <f t="shared" si="1"/>
        <v>#N/A</v>
      </c>
      <c r="M41" s="20" t="e">
        <f t="shared" si="2"/>
        <v>#N/A</v>
      </c>
      <c r="N41" s="20" t="e">
        <f t="shared" si="3"/>
        <v>#N/A</v>
      </c>
      <c r="O41" s="20" t="e">
        <f t="shared" si="4"/>
        <v>#N/A</v>
      </c>
      <c r="P41" s="20" t="e">
        <f t="shared" si="5"/>
        <v>#N/A</v>
      </c>
      <c r="Q41" s="20" t="e">
        <f t="shared" si="6"/>
        <v>#N/A</v>
      </c>
      <c r="R41" s="20" t="e">
        <f t="shared" si="7"/>
        <v>#N/A</v>
      </c>
      <c r="S41" s="20" t="e">
        <f t="shared" si="8"/>
        <v>#N/A</v>
      </c>
      <c r="T41" s="20" t="e">
        <f t="shared" si="9"/>
        <v>#N/A</v>
      </c>
      <c r="U41" s="20" t="e">
        <f t="shared" si="10"/>
        <v>#N/A</v>
      </c>
      <c r="V41" s="20" t="e">
        <f t="shared" si="11"/>
        <v>#N/A</v>
      </c>
      <c r="W41" s="20" t="e">
        <f t="shared" si="12"/>
        <v>#N/A</v>
      </c>
      <c r="X41" s="20" t="e">
        <f t="shared" si="13"/>
        <v>#N/A</v>
      </c>
      <c r="Y41" s="20" t="e">
        <f t="shared" si="14"/>
        <v>#N/A</v>
      </c>
      <c r="Z41" s="20" t="e">
        <f t="shared" si="15"/>
        <v>#N/A</v>
      </c>
      <c r="AA41" s="20" t="e">
        <f t="shared" si="16"/>
        <v>#N/A</v>
      </c>
      <c r="AB41" s="20" t="e">
        <f t="shared" si="17"/>
        <v>#N/A</v>
      </c>
      <c r="AM41" s="14"/>
      <c r="AN41" s="14"/>
    </row>
    <row r="42" spans="3:40" ht="13.5" thickBot="1" x14ac:dyDescent="0.25">
      <c r="C42" s="140"/>
      <c r="D42" s="141"/>
      <c r="F42" s="33"/>
      <c r="G42" s="57"/>
      <c r="H42" s="5" t="e">
        <f>VLOOKUP(F42,Sp_score_ref!$B$2:$D$1426,2,FALSE)</f>
        <v>#N/A</v>
      </c>
      <c r="I42" s="26" t="e">
        <f>VLOOKUP(F42,Sp_score_ref!$B$2:$D$1426,3,FALSE)</f>
        <v>#N/A</v>
      </c>
      <c r="J42" s="26"/>
      <c r="K42" s="20" t="e">
        <f t="shared" si="0"/>
        <v>#N/A</v>
      </c>
      <c r="L42" s="20" t="e">
        <f t="shared" si="1"/>
        <v>#N/A</v>
      </c>
      <c r="M42" s="20" t="e">
        <f t="shared" si="2"/>
        <v>#N/A</v>
      </c>
      <c r="N42" s="20" t="e">
        <f t="shared" si="3"/>
        <v>#N/A</v>
      </c>
      <c r="O42" s="20" t="e">
        <f t="shared" si="4"/>
        <v>#N/A</v>
      </c>
      <c r="P42" s="20" t="e">
        <f t="shared" si="5"/>
        <v>#N/A</v>
      </c>
      <c r="Q42" s="20" t="e">
        <f t="shared" si="6"/>
        <v>#N/A</v>
      </c>
      <c r="R42" s="20" t="e">
        <f t="shared" si="7"/>
        <v>#N/A</v>
      </c>
      <c r="S42" s="20" t="e">
        <f t="shared" si="8"/>
        <v>#N/A</v>
      </c>
      <c r="T42" s="20" t="e">
        <f t="shared" si="9"/>
        <v>#N/A</v>
      </c>
      <c r="U42" s="20" t="e">
        <f t="shared" si="10"/>
        <v>#N/A</v>
      </c>
      <c r="V42" s="20" t="e">
        <f t="shared" si="11"/>
        <v>#N/A</v>
      </c>
      <c r="W42" s="20" t="e">
        <f t="shared" si="12"/>
        <v>#N/A</v>
      </c>
      <c r="X42" s="20" t="e">
        <f t="shared" si="13"/>
        <v>#N/A</v>
      </c>
      <c r="Y42" s="20" t="e">
        <f t="shared" si="14"/>
        <v>#N/A</v>
      </c>
      <c r="Z42" s="20" t="e">
        <f t="shared" si="15"/>
        <v>#N/A</v>
      </c>
      <c r="AA42" s="20" t="e">
        <f t="shared" si="16"/>
        <v>#N/A</v>
      </c>
      <c r="AB42" s="20" t="e">
        <f t="shared" si="17"/>
        <v>#N/A</v>
      </c>
      <c r="AM42" s="14"/>
      <c r="AN42" s="14"/>
    </row>
    <row r="43" spans="3:40" ht="13.15" customHeight="1" x14ac:dyDescent="0.2">
      <c r="C43" s="138" t="s">
        <v>2506</v>
      </c>
      <c r="D43" s="139"/>
      <c r="F43" s="33"/>
      <c r="G43" s="57"/>
      <c r="H43" s="5" t="e">
        <f>VLOOKUP(F43,Sp_score_ref!$B$2:$D$1426,2,FALSE)</f>
        <v>#N/A</v>
      </c>
      <c r="I43" s="26" t="e">
        <f>VLOOKUP(F43,Sp_score_ref!$B$2:$D$1426,3,FALSE)</f>
        <v>#N/A</v>
      </c>
      <c r="J43" s="26"/>
      <c r="K43" s="20" t="e">
        <f t="shared" si="0"/>
        <v>#N/A</v>
      </c>
      <c r="L43" s="20" t="e">
        <f t="shared" si="1"/>
        <v>#N/A</v>
      </c>
      <c r="M43" s="20" t="e">
        <f t="shared" si="2"/>
        <v>#N/A</v>
      </c>
      <c r="N43" s="20" t="e">
        <f t="shared" si="3"/>
        <v>#N/A</v>
      </c>
      <c r="O43" s="20" t="e">
        <f t="shared" si="4"/>
        <v>#N/A</v>
      </c>
      <c r="P43" s="20" t="e">
        <f t="shared" si="5"/>
        <v>#N/A</v>
      </c>
      <c r="Q43" s="20" t="e">
        <f t="shared" si="6"/>
        <v>#N/A</v>
      </c>
      <c r="R43" s="20" t="e">
        <f t="shared" si="7"/>
        <v>#N/A</v>
      </c>
      <c r="S43" s="20" t="e">
        <f t="shared" si="8"/>
        <v>#N/A</v>
      </c>
      <c r="T43" s="20" t="e">
        <f t="shared" si="9"/>
        <v>#N/A</v>
      </c>
      <c r="U43" s="20" t="e">
        <f t="shared" si="10"/>
        <v>#N/A</v>
      </c>
      <c r="V43" s="20" t="e">
        <f t="shared" si="11"/>
        <v>#N/A</v>
      </c>
      <c r="W43" s="20" t="e">
        <f t="shared" si="12"/>
        <v>#N/A</v>
      </c>
      <c r="X43" s="20" t="e">
        <f t="shared" si="13"/>
        <v>#N/A</v>
      </c>
      <c r="Y43" s="20" t="e">
        <f t="shared" si="14"/>
        <v>#N/A</v>
      </c>
      <c r="Z43" s="20" t="e">
        <f t="shared" si="15"/>
        <v>#N/A</v>
      </c>
      <c r="AA43" s="20" t="e">
        <f t="shared" si="16"/>
        <v>#N/A</v>
      </c>
      <c r="AB43" s="20" t="e">
        <f t="shared" si="17"/>
        <v>#N/A</v>
      </c>
      <c r="AM43" s="14"/>
      <c r="AN43" s="14"/>
    </row>
    <row r="44" spans="3:40" ht="13.5" thickBot="1" x14ac:dyDescent="0.25">
      <c r="C44" s="140"/>
      <c r="D44" s="141"/>
      <c r="F44" s="33"/>
      <c r="G44" s="57"/>
      <c r="H44" s="5" t="e">
        <f>VLOOKUP(F44,Sp_score_ref!$B$2:$D$1426,2,FALSE)</f>
        <v>#N/A</v>
      </c>
      <c r="I44" s="26" t="e">
        <f>VLOOKUP(F44,Sp_score_ref!$B$2:$D$1426,3,FALSE)</f>
        <v>#N/A</v>
      </c>
      <c r="J44" s="26"/>
      <c r="K44" s="20" t="e">
        <f t="shared" si="0"/>
        <v>#N/A</v>
      </c>
      <c r="L44" s="20" t="e">
        <f t="shared" si="1"/>
        <v>#N/A</v>
      </c>
      <c r="M44" s="20" t="e">
        <f t="shared" si="2"/>
        <v>#N/A</v>
      </c>
      <c r="N44" s="20" t="e">
        <f t="shared" si="3"/>
        <v>#N/A</v>
      </c>
      <c r="O44" s="20" t="e">
        <f t="shared" si="4"/>
        <v>#N/A</v>
      </c>
      <c r="P44" s="20" t="e">
        <f t="shared" si="5"/>
        <v>#N/A</v>
      </c>
      <c r="Q44" s="20" t="e">
        <f t="shared" si="6"/>
        <v>#N/A</v>
      </c>
      <c r="R44" s="20" t="e">
        <f t="shared" si="7"/>
        <v>#N/A</v>
      </c>
      <c r="S44" s="20" t="e">
        <f t="shared" si="8"/>
        <v>#N/A</v>
      </c>
      <c r="T44" s="20" t="e">
        <f t="shared" si="9"/>
        <v>#N/A</v>
      </c>
      <c r="U44" s="20" t="e">
        <f t="shared" si="10"/>
        <v>#N/A</v>
      </c>
      <c r="V44" s="20" t="e">
        <f t="shared" si="11"/>
        <v>#N/A</v>
      </c>
      <c r="W44" s="20" t="e">
        <f t="shared" si="12"/>
        <v>#N/A</v>
      </c>
      <c r="X44" s="20" t="e">
        <f t="shared" si="13"/>
        <v>#N/A</v>
      </c>
      <c r="Y44" s="20" t="e">
        <f t="shared" si="14"/>
        <v>#N/A</v>
      </c>
      <c r="Z44" s="20" t="e">
        <f t="shared" si="15"/>
        <v>#N/A</v>
      </c>
      <c r="AA44" s="20" t="e">
        <f t="shared" si="16"/>
        <v>#N/A</v>
      </c>
      <c r="AB44" s="20" t="e">
        <f t="shared" si="17"/>
        <v>#N/A</v>
      </c>
      <c r="AM44" s="14"/>
      <c r="AN44" s="14"/>
    </row>
    <row r="45" spans="3:40" x14ac:dyDescent="0.2">
      <c r="F45" s="33"/>
      <c r="G45" s="57"/>
      <c r="H45" s="5" t="e">
        <f>VLOOKUP(F45,Sp_score_ref!$B$2:$D$1426,2,FALSE)</f>
        <v>#N/A</v>
      </c>
      <c r="I45" s="26" t="e">
        <f>VLOOKUP(F45,Sp_score_ref!$B$2:$D$1426,3,FALSE)</f>
        <v>#N/A</v>
      </c>
      <c r="J45" s="26"/>
      <c r="K45" s="20" t="e">
        <f t="shared" si="0"/>
        <v>#N/A</v>
      </c>
      <c r="L45" s="20" t="e">
        <f t="shared" si="1"/>
        <v>#N/A</v>
      </c>
      <c r="M45" s="20" t="e">
        <f t="shared" si="2"/>
        <v>#N/A</v>
      </c>
      <c r="N45" s="20" t="e">
        <f t="shared" si="3"/>
        <v>#N/A</v>
      </c>
      <c r="O45" s="20" t="e">
        <f t="shared" si="4"/>
        <v>#N/A</v>
      </c>
      <c r="P45" s="20" t="e">
        <f t="shared" si="5"/>
        <v>#N/A</v>
      </c>
      <c r="Q45" s="20" t="e">
        <f t="shared" si="6"/>
        <v>#N/A</v>
      </c>
      <c r="R45" s="20" t="e">
        <f t="shared" si="7"/>
        <v>#N/A</v>
      </c>
      <c r="S45" s="20" t="e">
        <f t="shared" si="8"/>
        <v>#N/A</v>
      </c>
      <c r="T45" s="20" t="e">
        <f t="shared" si="9"/>
        <v>#N/A</v>
      </c>
      <c r="U45" s="20" t="e">
        <f t="shared" si="10"/>
        <v>#N/A</v>
      </c>
      <c r="V45" s="20" t="e">
        <f t="shared" si="11"/>
        <v>#N/A</v>
      </c>
      <c r="W45" s="20" t="e">
        <f t="shared" si="12"/>
        <v>#N/A</v>
      </c>
      <c r="X45" s="20" t="e">
        <f t="shared" si="13"/>
        <v>#N/A</v>
      </c>
      <c r="Y45" s="20" t="e">
        <f t="shared" si="14"/>
        <v>#N/A</v>
      </c>
      <c r="Z45" s="20" t="e">
        <f t="shared" si="15"/>
        <v>#N/A</v>
      </c>
      <c r="AA45" s="20" t="e">
        <f t="shared" si="16"/>
        <v>#N/A</v>
      </c>
      <c r="AB45" s="20" t="e">
        <f t="shared" si="17"/>
        <v>#N/A</v>
      </c>
      <c r="AM45" s="14"/>
      <c r="AN45" s="14"/>
    </row>
    <row r="46" spans="3:40" x14ac:dyDescent="0.2">
      <c r="F46" s="33"/>
      <c r="G46" s="57"/>
      <c r="H46" s="5" t="e">
        <f>VLOOKUP(F46,Sp_score_ref!$B$2:$D$1426,2,FALSE)</f>
        <v>#N/A</v>
      </c>
      <c r="I46" s="26" t="e">
        <f>VLOOKUP(F46,Sp_score_ref!$B$2:$D$1426,3,FALSE)</f>
        <v>#N/A</v>
      </c>
      <c r="J46" s="26"/>
      <c r="K46" s="20" t="e">
        <f t="shared" si="0"/>
        <v>#N/A</v>
      </c>
      <c r="L46" s="20" t="e">
        <f t="shared" si="1"/>
        <v>#N/A</v>
      </c>
      <c r="M46" s="20" t="e">
        <f t="shared" si="2"/>
        <v>#N/A</v>
      </c>
      <c r="N46" s="20" t="e">
        <f t="shared" si="3"/>
        <v>#N/A</v>
      </c>
      <c r="O46" s="20" t="e">
        <f t="shared" si="4"/>
        <v>#N/A</v>
      </c>
      <c r="P46" s="20" t="e">
        <f t="shared" si="5"/>
        <v>#N/A</v>
      </c>
      <c r="Q46" s="20" t="e">
        <f t="shared" si="6"/>
        <v>#N/A</v>
      </c>
      <c r="R46" s="20" t="e">
        <f t="shared" si="7"/>
        <v>#N/A</v>
      </c>
      <c r="S46" s="20" t="e">
        <f t="shared" si="8"/>
        <v>#N/A</v>
      </c>
      <c r="T46" s="20" t="e">
        <f t="shared" si="9"/>
        <v>#N/A</v>
      </c>
      <c r="U46" s="20" t="e">
        <f t="shared" si="10"/>
        <v>#N/A</v>
      </c>
      <c r="V46" s="20" t="e">
        <f t="shared" si="11"/>
        <v>#N/A</v>
      </c>
      <c r="W46" s="20" t="e">
        <f t="shared" si="12"/>
        <v>#N/A</v>
      </c>
      <c r="X46" s="20" t="e">
        <f t="shared" si="13"/>
        <v>#N/A</v>
      </c>
      <c r="Y46" s="20" t="e">
        <f t="shared" si="14"/>
        <v>#N/A</v>
      </c>
      <c r="Z46" s="20" t="e">
        <f t="shared" si="15"/>
        <v>#N/A</v>
      </c>
      <c r="AA46" s="20" t="e">
        <f t="shared" si="16"/>
        <v>#N/A</v>
      </c>
      <c r="AB46" s="20" t="e">
        <f t="shared" si="17"/>
        <v>#N/A</v>
      </c>
      <c r="AM46" s="14"/>
      <c r="AN46" s="14"/>
    </row>
    <row r="47" spans="3:40" x14ac:dyDescent="0.2">
      <c r="F47" s="33"/>
      <c r="G47" s="57"/>
      <c r="H47" s="5" t="e">
        <f>VLOOKUP(F47,Sp_score_ref!$B$2:$D$1426,2,FALSE)</f>
        <v>#N/A</v>
      </c>
      <c r="I47" s="26" t="e">
        <f>VLOOKUP(F47,Sp_score_ref!$B$2:$D$1426,3,FALSE)</f>
        <v>#N/A</v>
      </c>
      <c r="J47" s="26"/>
      <c r="K47" s="20" t="e">
        <f t="shared" si="0"/>
        <v>#N/A</v>
      </c>
      <c r="L47" s="20" t="e">
        <f t="shared" si="1"/>
        <v>#N/A</v>
      </c>
      <c r="M47" s="20" t="e">
        <f t="shared" si="2"/>
        <v>#N/A</v>
      </c>
      <c r="N47" s="20" t="e">
        <f t="shared" si="3"/>
        <v>#N/A</v>
      </c>
      <c r="O47" s="20" t="e">
        <f t="shared" si="4"/>
        <v>#N/A</v>
      </c>
      <c r="P47" s="20" t="e">
        <f t="shared" si="5"/>
        <v>#N/A</v>
      </c>
      <c r="Q47" s="20" t="e">
        <f t="shared" si="6"/>
        <v>#N/A</v>
      </c>
      <c r="R47" s="20" t="e">
        <f t="shared" si="7"/>
        <v>#N/A</v>
      </c>
      <c r="S47" s="20" t="e">
        <f t="shared" si="8"/>
        <v>#N/A</v>
      </c>
      <c r="T47" s="20" t="e">
        <f t="shared" si="9"/>
        <v>#N/A</v>
      </c>
      <c r="U47" s="20" t="e">
        <f t="shared" si="10"/>
        <v>#N/A</v>
      </c>
      <c r="V47" s="20" t="e">
        <f t="shared" si="11"/>
        <v>#N/A</v>
      </c>
      <c r="W47" s="20" t="e">
        <f t="shared" si="12"/>
        <v>#N/A</v>
      </c>
      <c r="X47" s="20" t="e">
        <f t="shared" si="13"/>
        <v>#N/A</v>
      </c>
      <c r="Y47" s="20" t="e">
        <f t="shared" si="14"/>
        <v>#N/A</v>
      </c>
      <c r="Z47" s="20" t="e">
        <f t="shared" si="15"/>
        <v>#N/A</v>
      </c>
      <c r="AA47" s="20" t="e">
        <f t="shared" si="16"/>
        <v>#N/A</v>
      </c>
      <c r="AB47" s="20" t="e">
        <f t="shared" si="17"/>
        <v>#N/A</v>
      </c>
      <c r="AM47" s="14"/>
      <c r="AN47" s="14"/>
    </row>
    <row r="48" spans="3:40" x14ac:dyDescent="0.2">
      <c r="F48" s="33"/>
      <c r="G48" s="57"/>
      <c r="H48" s="5" t="e">
        <f>VLOOKUP(F48,Sp_score_ref!$B$2:$D$1426,2,FALSE)</f>
        <v>#N/A</v>
      </c>
      <c r="I48" s="26" t="e">
        <f>VLOOKUP(F48,Sp_score_ref!$B$2:$D$1426,3,FALSE)</f>
        <v>#N/A</v>
      </c>
      <c r="J48" s="26"/>
      <c r="K48" s="20" t="e">
        <f t="shared" si="0"/>
        <v>#N/A</v>
      </c>
      <c r="L48" s="20" t="e">
        <f t="shared" si="1"/>
        <v>#N/A</v>
      </c>
      <c r="M48" s="20" t="e">
        <f t="shared" si="2"/>
        <v>#N/A</v>
      </c>
      <c r="N48" s="20" t="e">
        <f t="shared" si="3"/>
        <v>#N/A</v>
      </c>
      <c r="O48" s="20" t="e">
        <f t="shared" si="4"/>
        <v>#N/A</v>
      </c>
      <c r="P48" s="20" t="e">
        <f t="shared" si="5"/>
        <v>#N/A</v>
      </c>
      <c r="Q48" s="20" t="e">
        <f t="shared" si="6"/>
        <v>#N/A</v>
      </c>
      <c r="R48" s="20" t="e">
        <f t="shared" si="7"/>
        <v>#N/A</v>
      </c>
      <c r="S48" s="20" t="e">
        <f t="shared" si="8"/>
        <v>#N/A</v>
      </c>
      <c r="T48" s="20" t="e">
        <f t="shared" si="9"/>
        <v>#N/A</v>
      </c>
      <c r="U48" s="20" t="e">
        <f t="shared" si="10"/>
        <v>#N/A</v>
      </c>
      <c r="V48" s="20" t="e">
        <f t="shared" si="11"/>
        <v>#N/A</v>
      </c>
      <c r="W48" s="20" t="e">
        <f t="shared" si="12"/>
        <v>#N/A</v>
      </c>
      <c r="X48" s="20" t="e">
        <f t="shared" si="13"/>
        <v>#N/A</v>
      </c>
      <c r="Y48" s="20" t="e">
        <f t="shared" si="14"/>
        <v>#N/A</v>
      </c>
      <c r="Z48" s="20" t="e">
        <f t="shared" si="15"/>
        <v>#N/A</v>
      </c>
      <c r="AA48" s="20" t="e">
        <f t="shared" si="16"/>
        <v>#N/A</v>
      </c>
      <c r="AB48" s="20" t="e">
        <f t="shared" si="17"/>
        <v>#N/A</v>
      </c>
      <c r="AM48" s="14"/>
      <c r="AN48" s="14"/>
    </row>
    <row r="49" spans="5:40" x14ac:dyDescent="0.2">
      <c r="F49" s="33"/>
      <c r="G49" s="57"/>
      <c r="H49" s="5" t="e">
        <f>VLOOKUP(F49,Sp_score_ref!$B$2:$D$1426,2,FALSE)</f>
        <v>#N/A</v>
      </c>
      <c r="I49" s="26" t="e">
        <f>VLOOKUP(F49,Sp_score_ref!$B$2:$D$1426,3,FALSE)</f>
        <v>#N/A</v>
      </c>
      <c r="J49" s="26"/>
      <c r="K49" s="20" t="e">
        <f t="shared" si="0"/>
        <v>#N/A</v>
      </c>
      <c r="L49" s="20" t="e">
        <f t="shared" si="1"/>
        <v>#N/A</v>
      </c>
      <c r="M49" s="20" t="e">
        <f t="shared" si="2"/>
        <v>#N/A</v>
      </c>
      <c r="N49" s="20" t="e">
        <f t="shared" si="3"/>
        <v>#N/A</v>
      </c>
      <c r="O49" s="20" t="e">
        <f t="shared" si="4"/>
        <v>#N/A</v>
      </c>
      <c r="P49" s="20" t="e">
        <f t="shared" si="5"/>
        <v>#N/A</v>
      </c>
      <c r="Q49" s="20" t="e">
        <f t="shared" si="6"/>
        <v>#N/A</v>
      </c>
      <c r="R49" s="20" t="e">
        <f t="shared" si="7"/>
        <v>#N/A</v>
      </c>
      <c r="S49" s="20" t="e">
        <f t="shared" si="8"/>
        <v>#N/A</v>
      </c>
      <c r="T49" s="20" t="e">
        <f t="shared" si="9"/>
        <v>#N/A</v>
      </c>
      <c r="U49" s="20" t="e">
        <f t="shared" si="10"/>
        <v>#N/A</v>
      </c>
      <c r="V49" s="20" t="e">
        <f t="shared" si="11"/>
        <v>#N/A</v>
      </c>
      <c r="W49" s="20" t="e">
        <f t="shared" si="12"/>
        <v>#N/A</v>
      </c>
      <c r="X49" s="20" t="e">
        <f t="shared" si="13"/>
        <v>#N/A</v>
      </c>
      <c r="Y49" s="20" t="e">
        <f t="shared" si="14"/>
        <v>#N/A</v>
      </c>
      <c r="Z49" s="20" t="e">
        <f t="shared" si="15"/>
        <v>#N/A</v>
      </c>
      <c r="AA49" s="20" t="e">
        <f t="shared" si="16"/>
        <v>#N/A</v>
      </c>
      <c r="AB49" s="20" t="e">
        <f t="shared" si="17"/>
        <v>#N/A</v>
      </c>
      <c r="AM49" s="14"/>
      <c r="AN49" s="14"/>
    </row>
    <row r="50" spans="5:40" x14ac:dyDescent="0.2">
      <c r="F50" s="33"/>
      <c r="G50" s="57"/>
      <c r="H50" s="5" t="e">
        <f>VLOOKUP(F50,Sp_score_ref!$B$2:$D$1426,2,FALSE)</f>
        <v>#N/A</v>
      </c>
      <c r="I50" s="26" t="e">
        <f>VLOOKUP(F50,Sp_score_ref!$B$2:$D$1426,3,FALSE)</f>
        <v>#N/A</v>
      </c>
      <c r="J50" s="26"/>
      <c r="K50" s="20" t="e">
        <f t="shared" si="0"/>
        <v>#N/A</v>
      </c>
      <c r="L50" s="20" t="e">
        <f t="shared" si="1"/>
        <v>#N/A</v>
      </c>
      <c r="M50" s="20" t="e">
        <f t="shared" si="2"/>
        <v>#N/A</v>
      </c>
      <c r="N50" s="20" t="e">
        <f t="shared" si="3"/>
        <v>#N/A</v>
      </c>
      <c r="O50" s="20" t="e">
        <f t="shared" si="4"/>
        <v>#N/A</v>
      </c>
      <c r="P50" s="20" t="e">
        <f t="shared" si="5"/>
        <v>#N/A</v>
      </c>
      <c r="Q50" s="20" t="e">
        <f t="shared" si="6"/>
        <v>#N/A</v>
      </c>
      <c r="R50" s="20" t="e">
        <f t="shared" si="7"/>
        <v>#N/A</v>
      </c>
      <c r="S50" s="20" t="e">
        <f t="shared" si="8"/>
        <v>#N/A</v>
      </c>
      <c r="T50" s="20" t="e">
        <f t="shared" si="9"/>
        <v>#N/A</v>
      </c>
      <c r="U50" s="20" t="e">
        <f t="shared" si="10"/>
        <v>#N/A</v>
      </c>
      <c r="V50" s="20" t="e">
        <f t="shared" si="11"/>
        <v>#N/A</v>
      </c>
      <c r="W50" s="20" t="e">
        <f t="shared" si="12"/>
        <v>#N/A</v>
      </c>
      <c r="X50" s="20" t="e">
        <f t="shared" si="13"/>
        <v>#N/A</v>
      </c>
      <c r="Y50" s="20" t="e">
        <f t="shared" si="14"/>
        <v>#N/A</v>
      </c>
      <c r="Z50" s="20" t="e">
        <f t="shared" si="15"/>
        <v>#N/A</v>
      </c>
      <c r="AA50" s="20" t="e">
        <f t="shared" si="16"/>
        <v>#N/A</v>
      </c>
      <c r="AB50" s="20" t="e">
        <f t="shared" si="17"/>
        <v>#N/A</v>
      </c>
      <c r="AM50" s="14"/>
      <c r="AN50" s="14"/>
    </row>
    <row r="51" spans="5:40" x14ac:dyDescent="0.2">
      <c r="F51" s="33"/>
      <c r="G51" s="57"/>
      <c r="H51" s="5" t="e">
        <f>VLOOKUP(F51,Sp_score_ref!$B$2:$D$1426,2,FALSE)</f>
        <v>#N/A</v>
      </c>
      <c r="I51" s="26" t="e">
        <f>VLOOKUP(F51,Sp_score_ref!$B$2:$D$1426,3,FALSE)</f>
        <v>#N/A</v>
      </c>
      <c r="J51" s="26"/>
      <c r="K51" s="20" t="e">
        <f t="shared" si="0"/>
        <v>#N/A</v>
      </c>
      <c r="L51" s="20" t="e">
        <f t="shared" si="1"/>
        <v>#N/A</v>
      </c>
      <c r="M51" s="20" t="e">
        <f t="shared" si="2"/>
        <v>#N/A</v>
      </c>
      <c r="N51" s="20" t="e">
        <f t="shared" si="3"/>
        <v>#N/A</v>
      </c>
      <c r="O51" s="20" t="e">
        <f t="shared" si="4"/>
        <v>#N/A</v>
      </c>
      <c r="P51" s="20" t="e">
        <f t="shared" si="5"/>
        <v>#N/A</v>
      </c>
      <c r="Q51" s="20" t="e">
        <f t="shared" si="6"/>
        <v>#N/A</v>
      </c>
      <c r="R51" s="20" t="e">
        <f t="shared" si="7"/>
        <v>#N/A</v>
      </c>
      <c r="S51" s="20" t="e">
        <f t="shared" si="8"/>
        <v>#N/A</v>
      </c>
      <c r="T51" s="20" t="e">
        <f t="shared" si="9"/>
        <v>#N/A</v>
      </c>
      <c r="U51" s="20" t="e">
        <f t="shared" si="10"/>
        <v>#N/A</v>
      </c>
      <c r="V51" s="20" t="e">
        <f t="shared" si="11"/>
        <v>#N/A</v>
      </c>
      <c r="W51" s="20" t="e">
        <f t="shared" si="12"/>
        <v>#N/A</v>
      </c>
      <c r="X51" s="20" t="e">
        <f t="shared" si="13"/>
        <v>#N/A</v>
      </c>
      <c r="Y51" s="20" t="e">
        <f t="shared" si="14"/>
        <v>#N/A</v>
      </c>
      <c r="Z51" s="20" t="e">
        <f t="shared" si="15"/>
        <v>#N/A</v>
      </c>
      <c r="AA51" s="20" t="e">
        <f t="shared" si="16"/>
        <v>#N/A</v>
      </c>
      <c r="AB51" s="20" t="e">
        <f t="shared" si="17"/>
        <v>#N/A</v>
      </c>
      <c r="AM51" s="14"/>
      <c r="AN51" s="14"/>
    </row>
    <row r="52" spans="5:40" x14ac:dyDescent="0.2">
      <c r="F52" s="33"/>
      <c r="G52" s="57"/>
      <c r="H52" s="5" t="e">
        <f>VLOOKUP(F52,Sp_score_ref!$B$2:$D$1426,2,FALSE)</f>
        <v>#N/A</v>
      </c>
      <c r="I52" s="26" t="e">
        <f>VLOOKUP(F52,Sp_score_ref!$B$2:$D$1426,3,FALSE)</f>
        <v>#N/A</v>
      </c>
      <c r="J52" s="26"/>
      <c r="K52" s="20" t="e">
        <f t="shared" si="0"/>
        <v>#N/A</v>
      </c>
      <c r="L52" s="20" t="e">
        <f t="shared" si="1"/>
        <v>#N/A</v>
      </c>
      <c r="M52" s="20" t="e">
        <f t="shared" si="2"/>
        <v>#N/A</v>
      </c>
      <c r="N52" s="20" t="e">
        <f t="shared" si="3"/>
        <v>#N/A</v>
      </c>
      <c r="O52" s="20" t="e">
        <f t="shared" si="4"/>
        <v>#N/A</v>
      </c>
      <c r="P52" s="20" t="e">
        <f t="shared" si="5"/>
        <v>#N/A</v>
      </c>
      <c r="Q52" s="20" t="e">
        <f t="shared" si="6"/>
        <v>#N/A</v>
      </c>
      <c r="R52" s="20" t="e">
        <f t="shared" si="7"/>
        <v>#N/A</v>
      </c>
      <c r="S52" s="20" t="e">
        <f t="shared" si="8"/>
        <v>#N/A</v>
      </c>
      <c r="T52" s="20" t="e">
        <f t="shared" si="9"/>
        <v>#N/A</v>
      </c>
      <c r="U52" s="20" t="e">
        <f t="shared" si="10"/>
        <v>#N/A</v>
      </c>
      <c r="V52" s="20" t="e">
        <f t="shared" si="11"/>
        <v>#N/A</v>
      </c>
      <c r="W52" s="20" t="e">
        <f t="shared" si="12"/>
        <v>#N/A</v>
      </c>
      <c r="X52" s="20" t="e">
        <f t="shared" si="13"/>
        <v>#N/A</v>
      </c>
      <c r="Y52" s="20" t="e">
        <f t="shared" si="14"/>
        <v>#N/A</v>
      </c>
      <c r="Z52" s="20" t="e">
        <f t="shared" si="15"/>
        <v>#N/A</v>
      </c>
      <c r="AA52" s="20" t="e">
        <f t="shared" si="16"/>
        <v>#N/A</v>
      </c>
      <c r="AB52" s="20" t="e">
        <f t="shared" si="17"/>
        <v>#N/A</v>
      </c>
      <c r="AM52" s="14"/>
      <c r="AN52" s="14"/>
    </row>
    <row r="53" spans="5:40" x14ac:dyDescent="0.2">
      <c r="F53" s="33"/>
      <c r="G53" s="57"/>
      <c r="H53" s="5" t="e">
        <f>VLOOKUP(F53,Sp_score_ref!$B$2:$D$1426,2,FALSE)</f>
        <v>#N/A</v>
      </c>
      <c r="I53" s="26" t="e">
        <f>VLOOKUP(F53,Sp_score_ref!$B$2:$D$1426,3,FALSE)</f>
        <v>#N/A</v>
      </c>
      <c r="J53" s="26"/>
      <c r="K53" s="20" t="e">
        <f t="shared" si="0"/>
        <v>#N/A</v>
      </c>
      <c r="L53" s="20" t="e">
        <f t="shared" si="1"/>
        <v>#N/A</v>
      </c>
      <c r="M53" s="20" t="e">
        <f t="shared" si="2"/>
        <v>#N/A</v>
      </c>
      <c r="N53" s="20" t="e">
        <f t="shared" si="3"/>
        <v>#N/A</v>
      </c>
      <c r="O53" s="20" t="e">
        <f t="shared" si="4"/>
        <v>#N/A</v>
      </c>
      <c r="P53" s="20" t="e">
        <f t="shared" si="5"/>
        <v>#N/A</v>
      </c>
      <c r="Q53" s="20" t="e">
        <f t="shared" si="6"/>
        <v>#N/A</v>
      </c>
      <c r="R53" s="20" t="e">
        <f t="shared" si="7"/>
        <v>#N/A</v>
      </c>
      <c r="S53" s="20" t="e">
        <f t="shared" si="8"/>
        <v>#N/A</v>
      </c>
      <c r="T53" s="20" t="e">
        <f t="shared" si="9"/>
        <v>#N/A</v>
      </c>
      <c r="U53" s="20" t="e">
        <f t="shared" si="10"/>
        <v>#N/A</v>
      </c>
      <c r="V53" s="20" t="e">
        <f t="shared" si="11"/>
        <v>#N/A</v>
      </c>
      <c r="W53" s="20" t="e">
        <f t="shared" si="12"/>
        <v>#N/A</v>
      </c>
      <c r="X53" s="20" t="e">
        <f t="shared" si="13"/>
        <v>#N/A</v>
      </c>
      <c r="Y53" s="20" t="e">
        <f t="shared" si="14"/>
        <v>#N/A</v>
      </c>
      <c r="Z53" s="20" t="e">
        <f t="shared" si="15"/>
        <v>#N/A</v>
      </c>
      <c r="AA53" s="20" t="e">
        <f t="shared" si="16"/>
        <v>#N/A</v>
      </c>
      <c r="AB53" s="20" t="e">
        <f t="shared" si="17"/>
        <v>#N/A</v>
      </c>
      <c r="AM53" s="14"/>
      <c r="AN53" s="14"/>
    </row>
    <row r="54" spans="5:40" x14ac:dyDescent="0.2">
      <c r="F54" s="33"/>
      <c r="G54" s="57"/>
      <c r="H54" s="5" t="e">
        <f>VLOOKUP(F54,Sp_score_ref!$B$2:$D$1426,2,FALSE)</f>
        <v>#N/A</v>
      </c>
      <c r="I54" s="26" t="e">
        <f>VLOOKUP(F54,Sp_score_ref!$B$2:$D$1426,3,FALSE)</f>
        <v>#N/A</v>
      </c>
      <c r="J54" s="26"/>
      <c r="K54" s="20" t="e">
        <f t="shared" si="0"/>
        <v>#N/A</v>
      </c>
      <c r="L54" s="20" t="e">
        <f t="shared" si="1"/>
        <v>#N/A</v>
      </c>
      <c r="M54" s="20" t="e">
        <f t="shared" si="2"/>
        <v>#N/A</v>
      </c>
      <c r="N54" s="20" t="e">
        <f t="shared" si="3"/>
        <v>#N/A</v>
      </c>
      <c r="O54" s="20" t="e">
        <f t="shared" si="4"/>
        <v>#N/A</v>
      </c>
      <c r="P54" s="20" t="e">
        <f t="shared" si="5"/>
        <v>#N/A</v>
      </c>
      <c r="Q54" s="20" t="e">
        <f t="shared" si="6"/>
        <v>#N/A</v>
      </c>
      <c r="R54" s="20" t="e">
        <f t="shared" si="7"/>
        <v>#N/A</v>
      </c>
      <c r="S54" s="20" t="e">
        <f t="shared" si="8"/>
        <v>#N/A</v>
      </c>
      <c r="T54" s="20" t="e">
        <f t="shared" si="9"/>
        <v>#N/A</v>
      </c>
      <c r="U54" s="20" t="e">
        <f t="shared" si="10"/>
        <v>#N/A</v>
      </c>
      <c r="V54" s="20" t="e">
        <f t="shared" si="11"/>
        <v>#N/A</v>
      </c>
      <c r="W54" s="20" t="e">
        <f t="shared" si="12"/>
        <v>#N/A</v>
      </c>
      <c r="X54" s="20" t="e">
        <f t="shared" si="13"/>
        <v>#N/A</v>
      </c>
      <c r="Y54" s="20" t="e">
        <f t="shared" si="14"/>
        <v>#N/A</v>
      </c>
      <c r="Z54" s="20" t="e">
        <f t="shared" si="15"/>
        <v>#N/A</v>
      </c>
      <c r="AA54" s="20" t="e">
        <f t="shared" si="16"/>
        <v>#N/A</v>
      </c>
      <c r="AB54" s="20" t="e">
        <f t="shared" si="17"/>
        <v>#N/A</v>
      </c>
      <c r="AM54" s="14"/>
      <c r="AN54" s="14"/>
    </row>
    <row r="55" spans="5:40" x14ac:dyDescent="0.2">
      <c r="F55" s="33"/>
      <c r="G55" s="57"/>
      <c r="H55" s="5" t="e">
        <f>VLOOKUP(F55,Sp_score_ref!$B$2:$D$1426,2,FALSE)</f>
        <v>#N/A</v>
      </c>
      <c r="I55" s="26" t="e">
        <f>VLOOKUP(F55,Sp_score_ref!$B$2:$D$1426,3,FALSE)</f>
        <v>#N/A</v>
      </c>
      <c r="J55" s="26"/>
      <c r="K55" s="20" t="e">
        <f t="shared" si="0"/>
        <v>#N/A</v>
      </c>
      <c r="L55" s="20" t="e">
        <f t="shared" si="1"/>
        <v>#N/A</v>
      </c>
      <c r="M55" s="20" t="e">
        <f t="shared" si="2"/>
        <v>#N/A</v>
      </c>
      <c r="N55" s="20" t="e">
        <f t="shared" si="3"/>
        <v>#N/A</v>
      </c>
      <c r="O55" s="20" t="e">
        <f t="shared" si="4"/>
        <v>#N/A</v>
      </c>
      <c r="P55" s="20" t="e">
        <f t="shared" si="5"/>
        <v>#N/A</v>
      </c>
      <c r="Q55" s="20" t="e">
        <f t="shared" si="6"/>
        <v>#N/A</v>
      </c>
      <c r="R55" s="20" t="e">
        <f t="shared" si="7"/>
        <v>#N/A</v>
      </c>
      <c r="S55" s="20" t="e">
        <f t="shared" si="8"/>
        <v>#N/A</v>
      </c>
      <c r="T55" s="20" t="e">
        <f t="shared" si="9"/>
        <v>#N/A</v>
      </c>
      <c r="U55" s="20" t="e">
        <f t="shared" si="10"/>
        <v>#N/A</v>
      </c>
      <c r="V55" s="20" t="e">
        <f t="shared" si="11"/>
        <v>#N/A</v>
      </c>
      <c r="W55" s="20" t="e">
        <f t="shared" si="12"/>
        <v>#N/A</v>
      </c>
      <c r="X55" s="20" t="e">
        <f t="shared" si="13"/>
        <v>#N/A</v>
      </c>
      <c r="Y55" s="20" t="e">
        <f t="shared" si="14"/>
        <v>#N/A</v>
      </c>
      <c r="Z55" s="20" t="e">
        <f t="shared" si="15"/>
        <v>#N/A</v>
      </c>
      <c r="AA55" s="20" t="e">
        <f t="shared" si="16"/>
        <v>#N/A</v>
      </c>
      <c r="AB55" s="20" t="e">
        <f t="shared" si="17"/>
        <v>#N/A</v>
      </c>
      <c r="AM55" s="14"/>
      <c r="AN55" s="14"/>
    </row>
    <row r="56" spans="5:40" x14ac:dyDescent="0.2">
      <c r="F56" s="33"/>
      <c r="G56" s="57"/>
      <c r="H56" s="5" t="e">
        <f>VLOOKUP(F56,Sp_score_ref!$B$2:$D$1426,2,FALSE)</f>
        <v>#N/A</v>
      </c>
      <c r="I56" s="26" t="e">
        <f>VLOOKUP(F56,Sp_score_ref!$B$2:$D$1426,3,FALSE)</f>
        <v>#N/A</v>
      </c>
      <c r="J56" s="26"/>
      <c r="K56" s="20" t="e">
        <f t="shared" si="0"/>
        <v>#N/A</v>
      </c>
      <c r="L56" s="20" t="e">
        <f t="shared" si="1"/>
        <v>#N/A</v>
      </c>
      <c r="M56" s="20" t="e">
        <f t="shared" si="2"/>
        <v>#N/A</v>
      </c>
      <c r="N56" s="20" t="e">
        <f t="shared" si="3"/>
        <v>#N/A</v>
      </c>
      <c r="O56" s="20" t="e">
        <f t="shared" si="4"/>
        <v>#N/A</v>
      </c>
      <c r="P56" s="20" t="e">
        <f t="shared" si="5"/>
        <v>#N/A</v>
      </c>
      <c r="Q56" s="20" t="e">
        <f t="shared" si="6"/>
        <v>#N/A</v>
      </c>
      <c r="R56" s="20" t="e">
        <f t="shared" si="7"/>
        <v>#N/A</v>
      </c>
      <c r="S56" s="20" t="e">
        <f t="shared" si="8"/>
        <v>#N/A</v>
      </c>
      <c r="T56" s="20" t="e">
        <f t="shared" si="9"/>
        <v>#N/A</v>
      </c>
      <c r="U56" s="20" t="e">
        <f t="shared" si="10"/>
        <v>#N/A</v>
      </c>
      <c r="V56" s="20" t="e">
        <f t="shared" si="11"/>
        <v>#N/A</v>
      </c>
      <c r="W56" s="20" t="e">
        <f t="shared" si="12"/>
        <v>#N/A</v>
      </c>
      <c r="X56" s="20" t="e">
        <f t="shared" si="13"/>
        <v>#N/A</v>
      </c>
      <c r="Y56" s="20" t="e">
        <f t="shared" si="14"/>
        <v>#N/A</v>
      </c>
      <c r="Z56" s="20" t="e">
        <f t="shared" si="15"/>
        <v>#N/A</v>
      </c>
      <c r="AA56" s="20" t="e">
        <f t="shared" si="16"/>
        <v>#N/A</v>
      </c>
      <c r="AB56" s="20" t="e">
        <f t="shared" si="17"/>
        <v>#N/A</v>
      </c>
      <c r="AM56" s="14"/>
      <c r="AN56" s="14"/>
    </row>
    <row r="57" spans="5:40" x14ac:dyDescent="0.2">
      <c r="E57"/>
      <c r="F57" s="33"/>
      <c r="G57" s="57"/>
      <c r="H57" s="5" t="e">
        <f>VLOOKUP(F57,Sp_score_ref!$B$2:$D$1426,2,FALSE)</f>
        <v>#N/A</v>
      </c>
      <c r="I57" s="26" t="e">
        <f>VLOOKUP(F57,Sp_score_ref!$B$2:$D$1426,3,FALSE)</f>
        <v>#N/A</v>
      </c>
      <c r="J57" s="26"/>
      <c r="K57" s="20" t="e">
        <f t="shared" si="0"/>
        <v>#N/A</v>
      </c>
      <c r="L57" s="20" t="e">
        <f t="shared" si="1"/>
        <v>#N/A</v>
      </c>
      <c r="M57" s="20" t="e">
        <f t="shared" si="2"/>
        <v>#N/A</v>
      </c>
      <c r="N57" s="20" t="e">
        <f t="shared" si="3"/>
        <v>#N/A</v>
      </c>
      <c r="O57" s="20" t="e">
        <f t="shared" si="4"/>
        <v>#N/A</v>
      </c>
      <c r="P57" s="20" t="e">
        <f t="shared" si="5"/>
        <v>#N/A</v>
      </c>
      <c r="Q57" s="20" t="e">
        <f t="shared" si="6"/>
        <v>#N/A</v>
      </c>
      <c r="R57" s="20" t="e">
        <f t="shared" si="7"/>
        <v>#N/A</v>
      </c>
      <c r="S57" s="20" t="e">
        <f t="shared" si="8"/>
        <v>#N/A</v>
      </c>
      <c r="T57" s="20" t="e">
        <f t="shared" si="9"/>
        <v>#N/A</v>
      </c>
      <c r="U57" s="20" t="e">
        <f t="shared" si="10"/>
        <v>#N/A</v>
      </c>
      <c r="V57" s="20" t="e">
        <f t="shared" si="11"/>
        <v>#N/A</v>
      </c>
      <c r="W57" s="20" t="e">
        <f t="shared" si="12"/>
        <v>#N/A</v>
      </c>
      <c r="X57" s="20" t="e">
        <f t="shared" si="13"/>
        <v>#N/A</v>
      </c>
      <c r="Y57" s="20" t="e">
        <f t="shared" si="14"/>
        <v>#N/A</v>
      </c>
      <c r="Z57" s="20" t="e">
        <f t="shared" si="15"/>
        <v>#N/A</v>
      </c>
      <c r="AA57" s="20" t="e">
        <f t="shared" si="16"/>
        <v>#N/A</v>
      </c>
      <c r="AB57" s="20" t="e">
        <f t="shared" si="17"/>
        <v>#N/A</v>
      </c>
      <c r="AM57" s="14"/>
      <c r="AN57" s="14"/>
    </row>
    <row r="58" spans="5:40" x14ac:dyDescent="0.2">
      <c r="E58"/>
      <c r="F58" s="33"/>
      <c r="G58" s="57"/>
      <c r="H58" s="5" t="e">
        <f>VLOOKUP(F58,Sp_score_ref!$B$2:$D$1426,2,FALSE)</f>
        <v>#N/A</v>
      </c>
      <c r="I58" s="26" t="e">
        <f>VLOOKUP(F58,Sp_score_ref!$B$2:$D$1426,3,FALSE)</f>
        <v>#N/A</v>
      </c>
      <c r="J58" s="26"/>
      <c r="K58" s="20" t="e">
        <f t="shared" si="0"/>
        <v>#N/A</v>
      </c>
      <c r="L58" s="20" t="e">
        <f t="shared" si="1"/>
        <v>#N/A</v>
      </c>
      <c r="M58" s="20" t="e">
        <f t="shared" si="2"/>
        <v>#N/A</v>
      </c>
      <c r="N58" s="20" t="e">
        <f t="shared" si="3"/>
        <v>#N/A</v>
      </c>
      <c r="O58" s="20" t="e">
        <f t="shared" si="4"/>
        <v>#N/A</v>
      </c>
      <c r="P58" s="20" t="e">
        <f t="shared" si="5"/>
        <v>#N/A</v>
      </c>
      <c r="Q58" s="20" t="e">
        <f t="shared" si="6"/>
        <v>#N/A</v>
      </c>
      <c r="R58" s="20" t="e">
        <f t="shared" si="7"/>
        <v>#N/A</v>
      </c>
      <c r="S58" s="20" t="e">
        <f t="shared" si="8"/>
        <v>#N/A</v>
      </c>
      <c r="T58" s="20" t="e">
        <f t="shared" si="9"/>
        <v>#N/A</v>
      </c>
      <c r="U58" s="20" t="e">
        <f t="shared" si="10"/>
        <v>#N/A</v>
      </c>
      <c r="V58" s="20" t="e">
        <f t="shared" si="11"/>
        <v>#N/A</v>
      </c>
      <c r="W58" s="20" t="e">
        <f t="shared" si="12"/>
        <v>#N/A</v>
      </c>
      <c r="X58" s="20" t="e">
        <f t="shared" si="13"/>
        <v>#N/A</v>
      </c>
      <c r="Y58" s="20" t="e">
        <f t="shared" si="14"/>
        <v>#N/A</v>
      </c>
      <c r="Z58" s="20" t="e">
        <f t="shared" si="15"/>
        <v>#N/A</v>
      </c>
      <c r="AA58" s="20" t="e">
        <f t="shared" si="16"/>
        <v>#N/A</v>
      </c>
      <c r="AB58" s="20" t="e">
        <f t="shared" si="17"/>
        <v>#N/A</v>
      </c>
      <c r="AM58" s="14"/>
      <c r="AN58" s="14"/>
    </row>
    <row r="59" spans="5:40" x14ac:dyDescent="0.2">
      <c r="F59" s="33"/>
      <c r="G59" s="57"/>
      <c r="H59" s="5" t="e">
        <f>VLOOKUP(F59,Sp_score_ref!$B$2:$D$1426,2,FALSE)</f>
        <v>#N/A</v>
      </c>
      <c r="I59" s="26" t="e">
        <f>VLOOKUP(F59,Sp_score_ref!$B$2:$D$1426,3,FALSE)</f>
        <v>#N/A</v>
      </c>
      <c r="J59" s="26"/>
      <c r="K59" s="20" t="e">
        <f t="shared" si="0"/>
        <v>#N/A</v>
      </c>
      <c r="L59" s="20" t="e">
        <f t="shared" si="1"/>
        <v>#N/A</v>
      </c>
      <c r="M59" s="20" t="e">
        <f t="shared" si="2"/>
        <v>#N/A</v>
      </c>
      <c r="N59" s="20" t="e">
        <f t="shared" si="3"/>
        <v>#N/A</v>
      </c>
      <c r="O59" s="20" t="e">
        <f t="shared" si="4"/>
        <v>#N/A</v>
      </c>
      <c r="P59" s="20" t="e">
        <f t="shared" si="5"/>
        <v>#N/A</v>
      </c>
      <c r="Q59" s="20" t="e">
        <f t="shared" si="6"/>
        <v>#N/A</v>
      </c>
      <c r="R59" s="20" t="e">
        <f t="shared" si="7"/>
        <v>#N/A</v>
      </c>
      <c r="S59" s="20" t="e">
        <f t="shared" si="8"/>
        <v>#N/A</v>
      </c>
      <c r="T59" s="20" t="e">
        <f t="shared" si="9"/>
        <v>#N/A</v>
      </c>
      <c r="U59" s="20" t="e">
        <f t="shared" si="10"/>
        <v>#N/A</v>
      </c>
      <c r="V59" s="20" t="e">
        <f t="shared" si="11"/>
        <v>#N/A</v>
      </c>
      <c r="W59" s="20" t="e">
        <f t="shared" si="12"/>
        <v>#N/A</v>
      </c>
      <c r="X59" s="20" t="e">
        <f t="shared" si="13"/>
        <v>#N/A</v>
      </c>
      <c r="Y59" s="20" t="e">
        <f t="shared" si="14"/>
        <v>#N/A</v>
      </c>
      <c r="Z59" s="20" t="e">
        <f t="shared" si="15"/>
        <v>#N/A</v>
      </c>
      <c r="AA59" s="20" t="e">
        <f t="shared" si="16"/>
        <v>#N/A</v>
      </c>
      <c r="AB59" s="20" t="e">
        <f t="shared" si="17"/>
        <v>#N/A</v>
      </c>
      <c r="AM59" s="14"/>
      <c r="AN59" s="14"/>
    </row>
    <row r="60" spans="5:40" x14ac:dyDescent="0.2">
      <c r="F60" s="33"/>
      <c r="G60" s="57"/>
      <c r="H60" s="5" t="e">
        <f>VLOOKUP(F60,Sp_score_ref!$B$2:$D$1426,2,FALSE)</f>
        <v>#N/A</v>
      </c>
      <c r="I60" s="26" t="e">
        <f>VLOOKUP(F60,Sp_score_ref!$B$2:$D$1426,3,FALSE)</f>
        <v>#N/A</v>
      </c>
      <c r="J60" s="26"/>
      <c r="K60" s="20" t="e">
        <f t="shared" si="0"/>
        <v>#N/A</v>
      </c>
      <c r="L60" s="20" t="e">
        <f t="shared" si="1"/>
        <v>#N/A</v>
      </c>
      <c r="M60" s="20" t="e">
        <f t="shared" si="2"/>
        <v>#N/A</v>
      </c>
      <c r="N60" s="20" t="e">
        <f t="shared" si="3"/>
        <v>#N/A</v>
      </c>
      <c r="O60" s="20" t="e">
        <f t="shared" si="4"/>
        <v>#N/A</v>
      </c>
      <c r="P60" s="20" t="e">
        <f t="shared" si="5"/>
        <v>#N/A</v>
      </c>
      <c r="Q60" s="20" t="e">
        <f t="shared" si="6"/>
        <v>#N/A</v>
      </c>
      <c r="R60" s="20" t="e">
        <f t="shared" si="7"/>
        <v>#N/A</v>
      </c>
      <c r="S60" s="20" t="e">
        <f t="shared" si="8"/>
        <v>#N/A</v>
      </c>
      <c r="T60" s="20" t="e">
        <f t="shared" si="9"/>
        <v>#N/A</v>
      </c>
      <c r="U60" s="20" t="e">
        <f t="shared" si="10"/>
        <v>#N/A</v>
      </c>
      <c r="V60" s="20" t="e">
        <f t="shared" si="11"/>
        <v>#N/A</v>
      </c>
      <c r="W60" s="20" t="e">
        <f t="shared" si="12"/>
        <v>#N/A</v>
      </c>
      <c r="X60" s="20" t="e">
        <f t="shared" si="13"/>
        <v>#N/A</v>
      </c>
      <c r="Y60" s="20" t="e">
        <f t="shared" si="14"/>
        <v>#N/A</v>
      </c>
      <c r="Z60" s="20" t="e">
        <f t="shared" si="15"/>
        <v>#N/A</v>
      </c>
      <c r="AA60" s="20" t="e">
        <f t="shared" si="16"/>
        <v>#N/A</v>
      </c>
      <c r="AB60" s="20" t="e">
        <f t="shared" si="17"/>
        <v>#N/A</v>
      </c>
      <c r="AM60" s="14"/>
      <c r="AN60" s="14"/>
    </row>
    <row r="61" spans="5:40" x14ac:dyDescent="0.2">
      <c r="F61" s="33"/>
      <c r="G61" s="57"/>
      <c r="H61" s="5" t="e">
        <f>VLOOKUP(F61,Sp_score_ref!$B$2:$D$1426,2,FALSE)</f>
        <v>#N/A</v>
      </c>
      <c r="I61" s="26" t="e">
        <f>VLOOKUP(F61,Sp_score_ref!$B$2:$D$1426,3,FALSE)</f>
        <v>#N/A</v>
      </c>
      <c r="J61" s="26"/>
      <c r="K61" s="20" t="e">
        <f t="shared" si="0"/>
        <v>#N/A</v>
      </c>
      <c r="L61" s="20" t="e">
        <f t="shared" si="1"/>
        <v>#N/A</v>
      </c>
      <c r="M61" s="20" t="e">
        <f t="shared" si="2"/>
        <v>#N/A</v>
      </c>
      <c r="N61" s="20" t="e">
        <f t="shared" si="3"/>
        <v>#N/A</v>
      </c>
      <c r="O61" s="20" t="e">
        <f t="shared" si="4"/>
        <v>#N/A</v>
      </c>
      <c r="P61" s="20" t="e">
        <f t="shared" si="5"/>
        <v>#N/A</v>
      </c>
      <c r="Q61" s="20" t="e">
        <f t="shared" si="6"/>
        <v>#N/A</v>
      </c>
      <c r="R61" s="20" t="e">
        <f t="shared" si="7"/>
        <v>#N/A</v>
      </c>
      <c r="S61" s="20" t="e">
        <f t="shared" si="8"/>
        <v>#N/A</v>
      </c>
      <c r="T61" s="20" t="e">
        <f t="shared" si="9"/>
        <v>#N/A</v>
      </c>
      <c r="U61" s="20" t="e">
        <f t="shared" si="10"/>
        <v>#N/A</v>
      </c>
      <c r="V61" s="20" t="e">
        <f t="shared" si="11"/>
        <v>#N/A</v>
      </c>
      <c r="W61" s="20" t="e">
        <f t="shared" si="12"/>
        <v>#N/A</v>
      </c>
      <c r="X61" s="20" t="e">
        <f t="shared" si="13"/>
        <v>#N/A</v>
      </c>
      <c r="Y61" s="20" t="e">
        <f t="shared" si="14"/>
        <v>#N/A</v>
      </c>
      <c r="Z61" s="20" t="e">
        <f t="shared" si="15"/>
        <v>#N/A</v>
      </c>
      <c r="AA61" s="20" t="e">
        <f t="shared" si="16"/>
        <v>#N/A</v>
      </c>
      <c r="AB61" s="20" t="e">
        <f t="shared" si="17"/>
        <v>#N/A</v>
      </c>
      <c r="AM61" s="14"/>
      <c r="AN61" s="14"/>
    </row>
    <row r="62" spans="5:40" x14ac:dyDescent="0.2">
      <c r="E62" s="22"/>
      <c r="F62" s="33"/>
      <c r="G62" s="57"/>
      <c r="H62" s="5" t="e">
        <f>VLOOKUP(F62,Sp_score_ref!$B$2:$D$1426,2,FALSE)</f>
        <v>#N/A</v>
      </c>
      <c r="I62" s="26" t="e">
        <f>VLOOKUP(F62,Sp_score_ref!$B$2:$D$1426,3,FALSE)</f>
        <v>#N/A</v>
      </c>
      <c r="J62" s="26"/>
      <c r="K62" s="20" t="e">
        <f t="shared" si="0"/>
        <v>#N/A</v>
      </c>
      <c r="L62" s="20" t="e">
        <f t="shared" si="1"/>
        <v>#N/A</v>
      </c>
      <c r="M62" s="20" t="e">
        <f t="shared" si="2"/>
        <v>#N/A</v>
      </c>
      <c r="N62" s="20" t="e">
        <f t="shared" si="3"/>
        <v>#N/A</v>
      </c>
      <c r="O62" s="20" t="e">
        <f t="shared" si="4"/>
        <v>#N/A</v>
      </c>
      <c r="P62" s="20" t="e">
        <f t="shared" si="5"/>
        <v>#N/A</v>
      </c>
      <c r="Q62" s="20" t="e">
        <f t="shared" si="6"/>
        <v>#N/A</v>
      </c>
      <c r="R62" s="20" t="e">
        <f t="shared" si="7"/>
        <v>#N/A</v>
      </c>
      <c r="S62" s="20" t="e">
        <f t="shared" si="8"/>
        <v>#N/A</v>
      </c>
      <c r="T62" s="20" t="e">
        <f t="shared" si="9"/>
        <v>#N/A</v>
      </c>
      <c r="U62" s="20" t="e">
        <f t="shared" si="10"/>
        <v>#N/A</v>
      </c>
      <c r="V62" s="20" t="e">
        <f t="shared" si="11"/>
        <v>#N/A</v>
      </c>
      <c r="W62" s="20" t="e">
        <f t="shared" si="12"/>
        <v>#N/A</v>
      </c>
      <c r="X62" s="20" t="e">
        <f t="shared" si="13"/>
        <v>#N/A</v>
      </c>
      <c r="Y62" s="20" t="e">
        <f t="shared" si="14"/>
        <v>#N/A</v>
      </c>
      <c r="Z62" s="20" t="e">
        <f t="shared" si="15"/>
        <v>#N/A</v>
      </c>
      <c r="AA62" s="20" t="e">
        <f t="shared" si="16"/>
        <v>#N/A</v>
      </c>
      <c r="AB62" s="20" t="e">
        <f t="shared" si="17"/>
        <v>#N/A</v>
      </c>
      <c r="AM62" s="14"/>
      <c r="AN62" s="14"/>
    </row>
    <row r="63" spans="5:40" x14ac:dyDescent="0.2">
      <c r="E63" s="22"/>
      <c r="F63" s="33"/>
      <c r="G63" s="57"/>
      <c r="H63" s="5" t="e">
        <f>VLOOKUP(F63,Sp_score_ref!$B$2:$D$1426,2,FALSE)</f>
        <v>#N/A</v>
      </c>
      <c r="I63" s="26" t="e">
        <f>VLOOKUP(F63,Sp_score_ref!$B$2:$D$1426,3,FALSE)</f>
        <v>#N/A</v>
      </c>
      <c r="J63" s="26"/>
      <c r="K63" s="20" t="e">
        <f t="shared" si="0"/>
        <v>#N/A</v>
      </c>
      <c r="L63" s="20" t="e">
        <f t="shared" si="1"/>
        <v>#N/A</v>
      </c>
      <c r="M63" s="20" t="e">
        <f t="shared" si="2"/>
        <v>#N/A</v>
      </c>
      <c r="N63" s="20" t="e">
        <f t="shared" si="3"/>
        <v>#N/A</v>
      </c>
      <c r="O63" s="20" t="e">
        <f t="shared" si="4"/>
        <v>#N/A</v>
      </c>
      <c r="P63" s="20" t="e">
        <f t="shared" si="5"/>
        <v>#N/A</v>
      </c>
      <c r="Q63" s="20" t="e">
        <f t="shared" si="6"/>
        <v>#N/A</v>
      </c>
      <c r="R63" s="20" t="e">
        <f t="shared" si="7"/>
        <v>#N/A</v>
      </c>
      <c r="S63" s="20" t="e">
        <f t="shared" si="8"/>
        <v>#N/A</v>
      </c>
      <c r="T63" s="20" t="e">
        <f t="shared" si="9"/>
        <v>#N/A</v>
      </c>
      <c r="U63" s="20" t="e">
        <f t="shared" si="10"/>
        <v>#N/A</v>
      </c>
      <c r="V63" s="20" t="e">
        <f t="shared" si="11"/>
        <v>#N/A</v>
      </c>
      <c r="W63" s="20" t="e">
        <f t="shared" si="12"/>
        <v>#N/A</v>
      </c>
      <c r="X63" s="20" t="e">
        <f t="shared" si="13"/>
        <v>#N/A</v>
      </c>
      <c r="Y63" s="20" t="e">
        <f t="shared" si="14"/>
        <v>#N/A</v>
      </c>
      <c r="Z63" s="20" t="e">
        <f t="shared" si="15"/>
        <v>#N/A</v>
      </c>
      <c r="AA63" s="20" t="e">
        <f t="shared" si="16"/>
        <v>#N/A</v>
      </c>
      <c r="AB63" s="20" t="e">
        <f t="shared" si="17"/>
        <v>#N/A</v>
      </c>
      <c r="AM63" s="14"/>
      <c r="AN63" s="14"/>
    </row>
    <row r="64" spans="5:40" x14ac:dyDescent="0.2">
      <c r="E64" s="22"/>
      <c r="F64" s="33"/>
      <c r="G64" s="57"/>
      <c r="H64" s="5" t="e">
        <f>VLOOKUP(F64,Sp_score_ref!$B$2:$D$1426,2,FALSE)</f>
        <v>#N/A</v>
      </c>
      <c r="I64" s="26" t="e">
        <f>VLOOKUP(F64,Sp_score_ref!$B$2:$D$1426,3,FALSE)</f>
        <v>#N/A</v>
      </c>
      <c r="J64" s="26"/>
      <c r="K64" s="20" t="e">
        <f t="shared" si="0"/>
        <v>#N/A</v>
      </c>
      <c r="L64" s="20" t="e">
        <f t="shared" si="1"/>
        <v>#N/A</v>
      </c>
      <c r="M64" s="20" t="e">
        <f t="shared" si="2"/>
        <v>#N/A</v>
      </c>
      <c r="N64" s="20" t="e">
        <f t="shared" si="3"/>
        <v>#N/A</v>
      </c>
      <c r="O64" s="20" t="e">
        <f t="shared" si="4"/>
        <v>#N/A</v>
      </c>
      <c r="P64" s="20" t="e">
        <f t="shared" si="5"/>
        <v>#N/A</v>
      </c>
      <c r="Q64" s="20" t="e">
        <f t="shared" si="6"/>
        <v>#N/A</v>
      </c>
      <c r="R64" s="20" t="e">
        <f t="shared" si="7"/>
        <v>#N/A</v>
      </c>
      <c r="S64" s="20" t="e">
        <f t="shared" si="8"/>
        <v>#N/A</v>
      </c>
      <c r="T64" s="20" t="e">
        <f t="shared" si="9"/>
        <v>#N/A</v>
      </c>
      <c r="U64" s="20" t="e">
        <f t="shared" si="10"/>
        <v>#N/A</v>
      </c>
      <c r="V64" s="20" t="e">
        <f t="shared" si="11"/>
        <v>#N/A</v>
      </c>
      <c r="W64" s="20" t="e">
        <f t="shared" si="12"/>
        <v>#N/A</v>
      </c>
      <c r="X64" s="20" t="e">
        <f t="shared" si="13"/>
        <v>#N/A</v>
      </c>
      <c r="Y64" s="20" t="e">
        <f t="shared" si="14"/>
        <v>#N/A</v>
      </c>
      <c r="Z64" s="20" t="e">
        <f t="shared" si="15"/>
        <v>#N/A</v>
      </c>
      <c r="AA64" s="20" t="e">
        <f t="shared" si="16"/>
        <v>#N/A</v>
      </c>
      <c r="AB64" s="20" t="e">
        <f t="shared" si="17"/>
        <v>#N/A</v>
      </c>
      <c r="AM64" s="14"/>
      <c r="AN64" s="14"/>
    </row>
    <row r="65" spans="3:41" x14ac:dyDescent="0.2">
      <c r="E65" s="22"/>
      <c r="F65" s="33"/>
      <c r="G65" s="57"/>
      <c r="H65" s="5" t="e">
        <f>VLOOKUP(F65,Sp_score_ref!$B$2:$D$1426,2,FALSE)</f>
        <v>#N/A</v>
      </c>
      <c r="I65" s="26" t="e">
        <f>VLOOKUP(F65,Sp_score_ref!$B$2:$D$1426,3,FALSE)</f>
        <v>#N/A</v>
      </c>
      <c r="J65" s="26"/>
      <c r="K65" s="20" t="e">
        <f t="shared" si="0"/>
        <v>#N/A</v>
      </c>
      <c r="L65" s="20" t="e">
        <f t="shared" si="1"/>
        <v>#N/A</v>
      </c>
      <c r="M65" s="20" t="e">
        <f t="shared" si="2"/>
        <v>#N/A</v>
      </c>
      <c r="N65" s="20" t="e">
        <f t="shared" si="3"/>
        <v>#N/A</v>
      </c>
      <c r="O65" s="20" t="e">
        <f t="shared" si="4"/>
        <v>#N/A</v>
      </c>
      <c r="P65" s="20" t="e">
        <f t="shared" si="5"/>
        <v>#N/A</v>
      </c>
      <c r="Q65" s="20" t="e">
        <f t="shared" si="6"/>
        <v>#N/A</v>
      </c>
      <c r="R65" s="20" t="e">
        <f t="shared" si="7"/>
        <v>#N/A</v>
      </c>
      <c r="S65" s="20" t="e">
        <f t="shared" si="8"/>
        <v>#N/A</v>
      </c>
      <c r="T65" s="20" t="e">
        <f t="shared" si="9"/>
        <v>#N/A</v>
      </c>
      <c r="U65" s="20" t="e">
        <f t="shared" si="10"/>
        <v>#N/A</v>
      </c>
      <c r="V65" s="20" t="e">
        <f t="shared" si="11"/>
        <v>#N/A</v>
      </c>
      <c r="W65" s="20" t="e">
        <f t="shared" si="12"/>
        <v>#N/A</v>
      </c>
      <c r="X65" s="20" t="e">
        <f t="shared" si="13"/>
        <v>#N/A</v>
      </c>
      <c r="Y65" s="20" t="e">
        <f t="shared" si="14"/>
        <v>#N/A</v>
      </c>
      <c r="Z65" s="20" t="e">
        <f t="shared" si="15"/>
        <v>#N/A</v>
      </c>
      <c r="AA65" s="20" t="e">
        <f t="shared" si="16"/>
        <v>#N/A</v>
      </c>
      <c r="AB65" s="20" t="e">
        <f t="shared" si="17"/>
        <v>#N/A</v>
      </c>
      <c r="AM65" s="14"/>
      <c r="AN65" s="14"/>
    </row>
    <row r="66" spans="3:41" x14ac:dyDescent="0.2">
      <c r="E66" s="22"/>
      <c r="F66" s="33"/>
      <c r="G66" s="57"/>
      <c r="H66" s="5" t="e">
        <f>VLOOKUP(F66,Sp_score_ref!$B$2:$D$1426,2,FALSE)</f>
        <v>#N/A</v>
      </c>
      <c r="I66" s="26" t="e">
        <f>VLOOKUP(F66,Sp_score_ref!$B$2:$D$1426,3,FALSE)</f>
        <v>#N/A</v>
      </c>
      <c r="J66" s="26"/>
      <c r="K66" s="20" t="e">
        <f t="shared" si="0"/>
        <v>#N/A</v>
      </c>
      <c r="L66" s="20" t="e">
        <f t="shared" si="1"/>
        <v>#N/A</v>
      </c>
      <c r="M66" s="20" t="e">
        <f t="shared" si="2"/>
        <v>#N/A</v>
      </c>
      <c r="N66" s="20" t="e">
        <f t="shared" si="3"/>
        <v>#N/A</v>
      </c>
      <c r="O66" s="20" t="e">
        <f t="shared" si="4"/>
        <v>#N/A</v>
      </c>
      <c r="P66" s="20" t="e">
        <f t="shared" si="5"/>
        <v>#N/A</v>
      </c>
      <c r="Q66" s="20" t="e">
        <f t="shared" si="6"/>
        <v>#N/A</v>
      </c>
      <c r="R66" s="20" t="e">
        <f t="shared" si="7"/>
        <v>#N/A</v>
      </c>
      <c r="S66" s="20" t="e">
        <f t="shared" si="8"/>
        <v>#N/A</v>
      </c>
      <c r="T66" s="20" t="e">
        <f t="shared" si="9"/>
        <v>#N/A</v>
      </c>
      <c r="U66" s="20" t="e">
        <f t="shared" si="10"/>
        <v>#N/A</v>
      </c>
      <c r="V66" s="20" t="e">
        <f t="shared" si="11"/>
        <v>#N/A</v>
      </c>
      <c r="W66" s="20" t="e">
        <f t="shared" si="12"/>
        <v>#N/A</v>
      </c>
      <c r="X66" s="20" t="e">
        <f t="shared" si="13"/>
        <v>#N/A</v>
      </c>
      <c r="Y66" s="20" t="e">
        <f t="shared" si="14"/>
        <v>#N/A</v>
      </c>
      <c r="Z66" s="20" t="e">
        <f t="shared" si="15"/>
        <v>#N/A</v>
      </c>
      <c r="AA66" s="20" t="e">
        <f t="shared" si="16"/>
        <v>#N/A</v>
      </c>
      <c r="AB66" s="20" t="e">
        <f t="shared" si="17"/>
        <v>#N/A</v>
      </c>
      <c r="AM66" s="14"/>
      <c r="AN66" s="14"/>
    </row>
    <row r="67" spans="3:41" x14ac:dyDescent="0.2">
      <c r="E67" s="22"/>
      <c r="F67" s="33"/>
      <c r="G67" s="57"/>
      <c r="H67" s="5" t="e">
        <f>VLOOKUP(F67,Sp_score_ref!$B$2:$D$1426,2,FALSE)</f>
        <v>#N/A</v>
      </c>
      <c r="I67" s="26" t="e">
        <f>VLOOKUP(F67,Sp_score_ref!$B$2:$D$1426,3,FALSE)</f>
        <v>#N/A</v>
      </c>
      <c r="J67" s="26"/>
      <c r="K67" s="20" t="e">
        <f t="shared" si="0"/>
        <v>#N/A</v>
      </c>
      <c r="L67" s="20" t="e">
        <f t="shared" si="1"/>
        <v>#N/A</v>
      </c>
      <c r="M67" s="20" t="e">
        <f t="shared" si="2"/>
        <v>#N/A</v>
      </c>
      <c r="N67" s="20" t="e">
        <f t="shared" si="3"/>
        <v>#N/A</v>
      </c>
      <c r="O67" s="20" t="e">
        <f t="shared" si="4"/>
        <v>#N/A</v>
      </c>
      <c r="P67" s="20" t="e">
        <f t="shared" si="5"/>
        <v>#N/A</v>
      </c>
      <c r="Q67" s="20" t="e">
        <f t="shared" si="6"/>
        <v>#N/A</v>
      </c>
      <c r="R67" s="20" t="e">
        <f t="shared" si="7"/>
        <v>#N/A</v>
      </c>
      <c r="S67" s="20" t="e">
        <f t="shared" si="8"/>
        <v>#N/A</v>
      </c>
      <c r="T67" s="20" t="e">
        <f t="shared" si="9"/>
        <v>#N/A</v>
      </c>
      <c r="U67" s="20" t="e">
        <f t="shared" si="10"/>
        <v>#N/A</v>
      </c>
      <c r="V67" s="20" t="e">
        <f t="shared" si="11"/>
        <v>#N/A</v>
      </c>
      <c r="W67" s="20" t="e">
        <f t="shared" si="12"/>
        <v>#N/A</v>
      </c>
      <c r="X67" s="20" t="e">
        <f t="shared" si="13"/>
        <v>#N/A</v>
      </c>
      <c r="Y67" s="20" t="e">
        <f t="shared" si="14"/>
        <v>#N/A</v>
      </c>
      <c r="Z67" s="20" t="e">
        <f t="shared" si="15"/>
        <v>#N/A</v>
      </c>
      <c r="AA67" s="20" t="e">
        <f t="shared" si="16"/>
        <v>#N/A</v>
      </c>
      <c r="AB67" s="20" t="e">
        <f t="shared" si="17"/>
        <v>#N/A</v>
      </c>
      <c r="AM67" s="14"/>
      <c r="AN67" s="14"/>
    </row>
    <row r="68" spans="3:41" x14ac:dyDescent="0.2">
      <c r="D68" s="2"/>
      <c r="E68" s="22"/>
      <c r="F68" s="33"/>
      <c r="G68" s="57"/>
      <c r="H68" s="5" t="e">
        <f>VLOOKUP(F68,Sp_score_ref!$B$2:$D$1426,2,FALSE)</f>
        <v>#N/A</v>
      </c>
      <c r="I68" s="26" t="e">
        <f>VLOOKUP(F68,Sp_score_ref!$B$2:$D$1426,3,FALSE)</f>
        <v>#N/A</v>
      </c>
      <c r="J68" s="26"/>
      <c r="K68" s="20" t="e">
        <f t="shared" si="0"/>
        <v>#N/A</v>
      </c>
      <c r="L68" s="20" t="e">
        <f t="shared" si="1"/>
        <v>#N/A</v>
      </c>
      <c r="M68" s="20" t="e">
        <f t="shared" si="2"/>
        <v>#N/A</v>
      </c>
      <c r="N68" s="20" t="e">
        <f t="shared" si="3"/>
        <v>#N/A</v>
      </c>
      <c r="O68" s="20" t="e">
        <f t="shared" si="4"/>
        <v>#N/A</v>
      </c>
      <c r="P68" s="20" t="e">
        <f t="shared" si="5"/>
        <v>#N/A</v>
      </c>
      <c r="Q68" s="20" t="e">
        <f t="shared" si="6"/>
        <v>#N/A</v>
      </c>
      <c r="R68" s="20" t="e">
        <f t="shared" si="7"/>
        <v>#N/A</v>
      </c>
      <c r="S68" s="20" t="e">
        <f t="shared" si="8"/>
        <v>#N/A</v>
      </c>
      <c r="T68" s="20" t="e">
        <f t="shared" si="9"/>
        <v>#N/A</v>
      </c>
      <c r="U68" s="20" t="e">
        <f t="shared" si="10"/>
        <v>#N/A</v>
      </c>
      <c r="V68" s="20" t="e">
        <f t="shared" si="11"/>
        <v>#N/A</v>
      </c>
      <c r="W68" s="20" t="e">
        <f t="shared" si="12"/>
        <v>#N/A</v>
      </c>
      <c r="X68" s="20" t="e">
        <f t="shared" si="13"/>
        <v>#N/A</v>
      </c>
      <c r="Y68" s="20" t="e">
        <f t="shared" si="14"/>
        <v>#N/A</v>
      </c>
      <c r="Z68" s="20" t="e">
        <f t="shared" si="15"/>
        <v>#N/A</v>
      </c>
      <c r="AA68" s="20" t="e">
        <f t="shared" si="16"/>
        <v>#N/A</v>
      </c>
      <c r="AB68" s="20" t="e">
        <f t="shared" si="17"/>
        <v>#N/A</v>
      </c>
      <c r="AM68" s="14"/>
      <c r="AN68" s="14"/>
    </row>
    <row r="69" spans="3:41" x14ac:dyDescent="0.2">
      <c r="D69" s="2"/>
      <c r="E69" s="22"/>
      <c r="F69" s="33"/>
      <c r="G69" s="57"/>
      <c r="H69" s="5" t="e">
        <f>VLOOKUP(F69,Sp_score_ref!$B$2:$D$1426,2,FALSE)</f>
        <v>#N/A</v>
      </c>
      <c r="I69" s="26" t="e">
        <f>VLOOKUP(F69,Sp_score_ref!$B$2:$D$1426,3,FALSE)</f>
        <v>#N/A</v>
      </c>
      <c r="J69" s="26"/>
      <c r="K69" s="20" t="e">
        <f t="shared" si="0"/>
        <v>#N/A</v>
      </c>
      <c r="L69" s="20" t="e">
        <f t="shared" si="1"/>
        <v>#N/A</v>
      </c>
      <c r="M69" s="20" t="e">
        <f t="shared" si="2"/>
        <v>#N/A</v>
      </c>
      <c r="N69" s="20" t="e">
        <f t="shared" si="3"/>
        <v>#N/A</v>
      </c>
      <c r="O69" s="20" t="e">
        <f t="shared" si="4"/>
        <v>#N/A</v>
      </c>
      <c r="P69" s="20" t="e">
        <f t="shared" si="5"/>
        <v>#N/A</v>
      </c>
      <c r="Q69" s="20" t="e">
        <f t="shared" si="6"/>
        <v>#N/A</v>
      </c>
      <c r="R69" s="20" t="e">
        <f t="shared" si="7"/>
        <v>#N/A</v>
      </c>
      <c r="S69" s="20" t="e">
        <f t="shared" si="8"/>
        <v>#N/A</v>
      </c>
      <c r="T69" s="20" t="e">
        <f t="shared" si="9"/>
        <v>#N/A</v>
      </c>
      <c r="U69" s="20" t="e">
        <f t="shared" si="10"/>
        <v>#N/A</v>
      </c>
      <c r="V69" s="20" t="e">
        <f t="shared" si="11"/>
        <v>#N/A</v>
      </c>
      <c r="W69" s="20" t="e">
        <f t="shared" si="12"/>
        <v>#N/A</v>
      </c>
      <c r="X69" s="20" t="e">
        <f t="shared" si="13"/>
        <v>#N/A</v>
      </c>
      <c r="Y69" s="20" t="e">
        <f t="shared" si="14"/>
        <v>#N/A</v>
      </c>
      <c r="Z69" s="20" t="e">
        <f t="shared" si="15"/>
        <v>#N/A</v>
      </c>
      <c r="AA69" s="20" t="e">
        <f t="shared" si="16"/>
        <v>#N/A</v>
      </c>
      <c r="AB69" s="20" t="e">
        <f t="shared" si="17"/>
        <v>#N/A</v>
      </c>
      <c r="AM69" s="14"/>
      <c r="AN69" s="14"/>
    </row>
    <row r="70" spans="3:41" ht="13.5" thickBot="1" x14ac:dyDescent="0.25">
      <c r="D70" s="2"/>
      <c r="E70" s="22"/>
      <c r="F70" s="34"/>
      <c r="G70" s="58"/>
      <c r="H70" s="73" t="e">
        <f>VLOOKUP(F70,Sp_score_ref!$B$2:$D$1426,2,FALSE)</f>
        <v>#N/A</v>
      </c>
      <c r="I70" s="74" t="e">
        <f>VLOOKUP(F70,Sp_score_ref!$B$2:$D$1426,3,FALSE)</f>
        <v>#N/A</v>
      </c>
      <c r="J70" s="26"/>
      <c r="K70" s="20" t="e">
        <f t="shared" si="0"/>
        <v>#N/A</v>
      </c>
      <c r="L70" s="20" t="e">
        <f t="shared" si="1"/>
        <v>#N/A</v>
      </c>
      <c r="M70" s="20" t="e">
        <f t="shared" si="2"/>
        <v>#N/A</v>
      </c>
      <c r="N70" s="20" t="e">
        <f t="shared" si="3"/>
        <v>#N/A</v>
      </c>
      <c r="O70" s="20" t="e">
        <f t="shared" si="4"/>
        <v>#N/A</v>
      </c>
      <c r="P70" s="20" t="e">
        <f t="shared" si="5"/>
        <v>#N/A</v>
      </c>
      <c r="Q70" s="20" t="e">
        <f t="shared" si="6"/>
        <v>#N/A</v>
      </c>
      <c r="R70" s="20" t="e">
        <f t="shared" si="7"/>
        <v>#N/A</v>
      </c>
      <c r="S70" s="20" t="e">
        <f t="shared" si="8"/>
        <v>#N/A</v>
      </c>
      <c r="T70" s="20" t="e">
        <f t="shared" si="9"/>
        <v>#N/A</v>
      </c>
      <c r="U70" s="20" t="e">
        <f t="shared" si="10"/>
        <v>#N/A</v>
      </c>
      <c r="V70" s="20" t="e">
        <f t="shared" si="11"/>
        <v>#N/A</v>
      </c>
      <c r="W70" s="20" t="e">
        <f t="shared" si="12"/>
        <v>#N/A</v>
      </c>
      <c r="X70" s="20" t="e">
        <f t="shared" si="13"/>
        <v>#N/A</v>
      </c>
      <c r="Y70" s="20" t="e">
        <f t="shared" si="14"/>
        <v>#N/A</v>
      </c>
      <c r="Z70" s="20" t="e">
        <f t="shared" si="15"/>
        <v>#N/A</v>
      </c>
      <c r="AA70" s="20" t="e">
        <f t="shared" si="16"/>
        <v>#N/A</v>
      </c>
      <c r="AB70" s="20" t="e">
        <f t="shared" si="17"/>
        <v>#N/A</v>
      </c>
      <c r="AM70" s="14"/>
      <c r="AN70" s="14"/>
    </row>
    <row r="71" spans="3:41" ht="13.5" thickBot="1" x14ac:dyDescent="0.25">
      <c r="C71" s="1"/>
      <c r="D71" s="2"/>
      <c r="E71" s="22"/>
      <c r="F71" s="1"/>
      <c r="G71" s="17"/>
      <c r="I71" s="17"/>
      <c r="J71" s="17"/>
      <c r="K71" s="45">
        <f t="shared" ref="K71:S71" si="18">COUNT(K7:K70)</f>
        <v>0</v>
      </c>
      <c r="L71" s="45">
        <f t="shared" si="18"/>
        <v>0</v>
      </c>
      <c r="M71" s="45">
        <f t="shared" si="18"/>
        <v>0</v>
      </c>
      <c r="N71" s="45">
        <f t="shared" si="18"/>
        <v>0</v>
      </c>
      <c r="O71" s="45">
        <f t="shared" si="18"/>
        <v>0</v>
      </c>
      <c r="P71" s="45">
        <f t="shared" si="18"/>
        <v>0</v>
      </c>
      <c r="Q71" s="45">
        <f t="shared" si="18"/>
        <v>0</v>
      </c>
      <c r="R71" s="45">
        <f t="shared" si="18"/>
        <v>0</v>
      </c>
      <c r="S71" s="45">
        <f t="shared" si="18"/>
        <v>0</v>
      </c>
      <c r="T71" s="97">
        <f t="shared" ref="T71:AB71" si="19">COUNT(T7:T70)</f>
        <v>0</v>
      </c>
      <c r="U71" s="97">
        <f t="shared" si="19"/>
        <v>0</v>
      </c>
      <c r="V71" s="97">
        <f t="shared" si="19"/>
        <v>0</v>
      </c>
      <c r="W71" s="97">
        <f t="shared" si="19"/>
        <v>0</v>
      </c>
      <c r="X71" s="97">
        <f t="shared" si="19"/>
        <v>0</v>
      </c>
      <c r="Y71" s="97">
        <f t="shared" si="19"/>
        <v>0</v>
      </c>
      <c r="Z71" s="97">
        <f t="shared" si="19"/>
        <v>0</v>
      </c>
      <c r="AA71" s="97">
        <f t="shared" si="19"/>
        <v>0</v>
      </c>
      <c r="AB71" s="97">
        <f t="shared" si="19"/>
        <v>0</v>
      </c>
      <c r="AM71" s="14"/>
      <c r="AN71" s="14"/>
    </row>
    <row r="72" spans="3:41" ht="39" hidden="1" thickBot="1" x14ac:dyDescent="0.25">
      <c r="C72" s="1"/>
      <c r="D72" s="2"/>
      <c r="E72" s="22"/>
      <c r="F72" s="1"/>
      <c r="G72" s="17"/>
      <c r="I72" s="17"/>
      <c r="J72" s="17"/>
      <c r="K72" s="44" t="s">
        <v>2464</v>
      </c>
      <c r="L72" s="44" t="s">
        <v>2467</v>
      </c>
      <c r="M72" s="44" t="s">
        <v>2468</v>
      </c>
      <c r="N72" s="44" t="s">
        <v>2465</v>
      </c>
      <c r="O72" s="44" t="s">
        <v>2494</v>
      </c>
      <c r="P72" s="44" t="s">
        <v>2495</v>
      </c>
      <c r="Q72" s="44" t="s">
        <v>2466</v>
      </c>
      <c r="R72" s="44" t="s">
        <v>2469</v>
      </c>
      <c r="S72" s="44" t="s">
        <v>2470</v>
      </c>
      <c r="T72" s="44" t="s">
        <v>2496</v>
      </c>
      <c r="U72" s="44" t="s">
        <v>2497</v>
      </c>
      <c r="V72" s="44" t="s">
        <v>2498</v>
      </c>
      <c r="W72" s="44" t="s">
        <v>2499</v>
      </c>
      <c r="X72" s="44" t="s">
        <v>2500</v>
      </c>
      <c r="Y72" s="44" t="s">
        <v>2501</v>
      </c>
      <c r="Z72" s="44" t="s">
        <v>2502</v>
      </c>
      <c r="AA72" s="44" t="s">
        <v>2503</v>
      </c>
      <c r="AB72" s="44" t="s">
        <v>2504</v>
      </c>
      <c r="AM72" s="14"/>
      <c r="AN72" s="14"/>
    </row>
    <row r="73" spans="3:41" hidden="1" x14ac:dyDescent="0.2">
      <c r="C73" s="1"/>
      <c r="D73" s="2"/>
      <c r="E73" s="22"/>
      <c r="F73" s="1"/>
      <c r="G73" s="17"/>
      <c r="I73" s="17"/>
      <c r="J73" s="17"/>
      <c r="K73" s="17"/>
      <c r="L73" s="17"/>
      <c r="M73" s="17"/>
      <c r="N73" s="18"/>
      <c r="O73" s="18"/>
      <c r="P73" s="18"/>
      <c r="Q73" s="18"/>
      <c r="R73" s="18"/>
      <c r="S73" s="18"/>
      <c r="T73" s="17"/>
      <c r="U73" s="17"/>
      <c r="V73" s="17"/>
      <c r="W73" s="18"/>
      <c r="X73" s="18"/>
      <c r="Y73" s="18"/>
      <c r="Z73" s="18"/>
      <c r="AA73" s="18"/>
      <c r="AB73" s="18"/>
      <c r="AM73" s="14"/>
      <c r="AN73" s="14"/>
      <c r="AO73" s="14"/>
    </row>
    <row r="74" spans="3:41" hidden="1" x14ac:dyDescent="0.2">
      <c r="C74" s="1"/>
      <c r="D74" s="2"/>
      <c r="E74" s="22"/>
      <c r="F74" s="1"/>
      <c r="G74" s="17"/>
      <c r="I74" s="17"/>
      <c r="J74" s="17"/>
      <c r="K74" s="17"/>
      <c r="L74" s="17"/>
      <c r="M74" s="17"/>
      <c r="N74" s="18"/>
      <c r="O74" s="18"/>
      <c r="P74" s="18"/>
      <c r="Q74" s="18"/>
      <c r="R74" s="18"/>
      <c r="S74" s="18"/>
      <c r="T74" s="17"/>
      <c r="U74" s="17"/>
      <c r="V74" s="17"/>
      <c r="W74" s="18"/>
      <c r="X74" s="18"/>
      <c r="Y74" s="18"/>
      <c r="Z74" s="18"/>
      <c r="AA74" s="18"/>
      <c r="AB74" s="18"/>
      <c r="AM74" s="14"/>
      <c r="AN74" s="14"/>
      <c r="AO74" s="14"/>
    </row>
    <row r="75" spans="3:41" ht="13.5" thickBot="1" x14ac:dyDescent="0.25">
      <c r="C75" s="1"/>
      <c r="D75" s="2"/>
      <c r="E75" s="42"/>
      <c r="F75" s="1"/>
      <c r="G75" s="17"/>
      <c r="I75" s="17"/>
      <c r="J75" s="17"/>
      <c r="K75" s="17"/>
      <c r="L75" s="17"/>
      <c r="M75" s="17"/>
      <c r="N75" s="18"/>
      <c r="O75" s="18"/>
      <c r="P75" s="18"/>
      <c r="Q75" s="18"/>
      <c r="R75" s="18"/>
      <c r="S75" s="18"/>
      <c r="T75" s="17"/>
      <c r="U75" s="17"/>
      <c r="V75" s="17"/>
      <c r="W75" s="18"/>
      <c r="X75" s="18"/>
      <c r="Y75" s="18"/>
      <c r="Z75" s="18"/>
      <c r="AA75" s="18"/>
      <c r="AB75" s="18"/>
      <c r="AM75" s="14"/>
      <c r="AN75" s="14"/>
      <c r="AO75" s="14"/>
    </row>
    <row r="76" spans="3:41" ht="22.15" customHeight="1" thickBot="1" x14ac:dyDescent="0.25">
      <c r="C76" s="150" t="s">
        <v>2512</v>
      </c>
      <c r="D76" s="151"/>
      <c r="E76" s="151"/>
      <c r="F76" s="151"/>
      <c r="G76" s="151"/>
      <c r="H76" s="151"/>
      <c r="I76" s="152"/>
      <c r="J76" s="17"/>
      <c r="K76" s="17"/>
      <c r="L76" s="17"/>
      <c r="M76" s="17"/>
      <c r="N76" s="18"/>
      <c r="O76" s="18"/>
      <c r="P76" s="18"/>
      <c r="Q76" s="18"/>
      <c r="R76" s="18"/>
      <c r="S76" s="18"/>
      <c r="T76" s="17"/>
      <c r="U76" s="17"/>
      <c r="V76" s="17"/>
      <c r="W76" s="18"/>
      <c r="X76" s="18"/>
      <c r="Y76" s="18"/>
      <c r="Z76" s="18"/>
      <c r="AA76" s="18"/>
      <c r="AB76" s="18"/>
      <c r="AM76" s="14"/>
      <c r="AN76" s="14"/>
      <c r="AO76" s="14"/>
    </row>
    <row r="77" spans="3:41" ht="13.5" thickBot="1" x14ac:dyDescent="0.25">
      <c r="C77" s="1"/>
      <c r="D77" s="2"/>
      <c r="E77" s="22"/>
      <c r="F77" s="1" t="s">
        <v>262</v>
      </c>
      <c r="G77" s="17"/>
      <c r="I77" s="17"/>
      <c r="J77" s="17"/>
      <c r="K77" s="17"/>
      <c r="L77" s="17"/>
      <c r="M77" s="17"/>
      <c r="N77" s="18"/>
      <c r="O77" s="18"/>
      <c r="P77" s="18"/>
      <c r="Q77" s="18"/>
      <c r="R77" s="18"/>
      <c r="S77" s="18"/>
      <c r="T77" s="17"/>
      <c r="U77" s="17"/>
      <c r="V77" s="17"/>
      <c r="W77" s="18"/>
      <c r="X77" s="18"/>
      <c r="Y77" s="18"/>
      <c r="Z77" s="18"/>
      <c r="AA77" s="18"/>
      <c r="AB77" s="18"/>
      <c r="AM77" s="14"/>
      <c r="AN77" s="14"/>
      <c r="AO77" s="14"/>
    </row>
    <row r="78" spans="3:41" ht="76.150000000000006" customHeight="1" thickBot="1" x14ac:dyDescent="0.25">
      <c r="C78" s="142" t="s">
        <v>2551</v>
      </c>
      <c r="D78" s="143"/>
      <c r="E78" s="143"/>
      <c r="F78" s="143"/>
      <c r="G78" s="143"/>
      <c r="H78" s="144"/>
      <c r="I78" s="40"/>
      <c r="K78" s="17"/>
      <c r="L78" s="50" t="s">
        <v>264</v>
      </c>
      <c r="M78" s="51">
        <v>1</v>
      </c>
      <c r="N78" s="51">
        <v>2</v>
      </c>
      <c r="O78" s="52" t="s">
        <v>263</v>
      </c>
      <c r="Q78" s="18"/>
      <c r="R78" s="18"/>
      <c r="S78" s="18"/>
      <c r="T78" s="17"/>
      <c r="U78" s="98" t="s">
        <v>264</v>
      </c>
      <c r="V78" s="51">
        <v>1</v>
      </c>
      <c r="W78" s="51">
        <v>2</v>
      </c>
      <c r="X78" s="52" t="s">
        <v>263</v>
      </c>
      <c r="Z78" s="18"/>
      <c r="AA78" s="18"/>
      <c r="AB78" s="18"/>
      <c r="AM78" s="14"/>
      <c r="AN78" s="14"/>
      <c r="AO78" s="14"/>
    </row>
    <row r="79" spans="3:41" ht="13.5" thickBot="1" x14ac:dyDescent="0.25">
      <c r="C79" s="41"/>
      <c r="D79" s="42"/>
      <c r="E79" s="42"/>
      <c r="F79" s="41"/>
      <c r="G79" s="41"/>
      <c r="H79" s="43"/>
      <c r="I79" s="17"/>
      <c r="K79" s="17"/>
      <c r="L79" s="53" t="s">
        <v>133</v>
      </c>
      <c r="M79" s="59">
        <v>0.1</v>
      </c>
      <c r="N79" s="59">
        <v>0.12</v>
      </c>
      <c r="O79" s="60">
        <v>0.30000000000000004</v>
      </c>
      <c r="Q79" s="18"/>
      <c r="R79" s="18"/>
      <c r="S79" s="18"/>
      <c r="T79" s="17"/>
      <c r="U79" s="53">
        <v>3</v>
      </c>
      <c r="V79" s="59">
        <v>0.1</v>
      </c>
      <c r="W79" s="59">
        <v>0.12</v>
      </c>
      <c r="X79" s="60">
        <v>0.30000000000000004</v>
      </c>
      <c r="Z79" s="18"/>
      <c r="AA79" s="18"/>
      <c r="AB79" s="18"/>
      <c r="AM79" s="14"/>
      <c r="AN79" s="14"/>
      <c r="AO79" s="14"/>
    </row>
    <row r="80" spans="3:41" ht="35.450000000000003" customHeight="1" thickBot="1" x14ac:dyDescent="0.25">
      <c r="C80" s="142" t="s">
        <v>271</v>
      </c>
      <c r="D80" s="143"/>
      <c r="E80" s="143"/>
      <c r="F80" s="143"/>
      <c r="G80" s="143"/>
      <c r="H80" s="144"/>
      <c r="I80" s="40"/>
      <c r="K80" s="17"/>
      <c r="L80" s="53">
        <v>1</v>
      </c>
      <c r="M80" s="59">
        <v>0.33333333333333337</v>
      </c>
      <c r="N80" s="59">
        <v>0.4</v>
      </c>
      <c r="O80" s="60">
        <v>1</v>
      </c>
      <c r="Q80" s="18"/>
      <c r="R80" s="18"/>
      <c r="S80" s="18"/>
      <c r="T80" s="17"/>
      <c r="U80" s="53">
        <v>4</v>
      </c>
      <c r="V80" s="59">
        <v>0.33333333333333337</v>
      </c>
      <c r="W80" s="59">
        <v>0.4</v>
      </c>
      <c r="X80" s="60">
        <v>1</v>
      </c>
      <c r="Z80" s="18"/>
      <c r="AA80" s="18"/>
      <c r="AB80" s="18"/>
      <c r="AM80" s="14"/>
      <c r="AN80" s="14"/>
      <c r="AO80" s="14"/>
    </row>
    <row r="81" spans="3:41" ht="13.5" thickBot="1" x14ac:dyDescent="0.25">
      <c r="C81" s="41"/>
      <c r="D81" s="42"/>
      <c r="E81" s="42"/>
      <c r="F81" s="41"/>
      <c r="G81" s="41"/>
      <c r="H81" s="43"/>
      <c r="I81" s="17"/>
      <c r="J81" s="17"/>
      <c r="K81" s="17"/>
      <c r="L81" s="54">
        <v>2</v>
      </c>
      <c r="M81" s="61">
        <v>1.1100000000000001</v>
      </c>
      <c r="N81" s="61">
        <v>1.33</v>
      </c>
      <c r="O81" s="62">
        <v>3.33</v>
      </c>
      <c r="Q81" s="18"/>
      <c r="R81" s="18"/>
      <c r="S81" s="18"/>
      <c r="T81" s="17"/>
      <c r="U81" s="54">
        <v>5</v>
      </c>
      <c r="V81" s="61">
        <v>1.1100000000000001</v>
      </c>
      <c r="W81" s="61">
        <v>1.33</v>
      </c>
      <c r="X81" s="62">
        <v>3.33</v>
      </c>
      <c r="Z81" s="18"/>
      <c r="AA81" s="18"/>
      <c r="AB81" s="18"/>
      <c r="AM81" s="14"/>
      <c r="AN81" s="14"/>
      <c r="AO81" s="14"/>
    </row>
    <row r="82" spans="3:41" ht="66.599999999999994" customHeight="1" thickBot="1" x14ac:dyDescent="0.25">
      <c r="C82" s="142" t="s">
        <v>2552</v>
      </c>
      <c r="D82" s="143"/>
      <c r="E82" s="143"/>
      <c r="F82" s="143"/>
      <c r="G82" s="143"/>
      <c r="H82" s="144"/>
      <c r="I82" s="40"/>
      <c r="J82"/>
      <c r="K82" s="63">
        <f>COUNTIF(J7:J70, "x")</f>
        <v>0</v>
      </c>
      <c r="L82" s="17"/>
      <c r="M82" s="17"/>
      <c r="N82" s="18"/>
      <c r="O82" s="18"/>
      <c r="P82" s="18"/>
      <c r="Q82" s="18"/>
      <c r="R82" s="18"/>
      <c r="S82" s="18"/>
      <c r="T82" s="18"/>
      <c r="U82" s="17"/>
      <c r="V82" s="17"/>
      <c r="W82" s="18"/>
      <c r="X82" s="18"/>
      <c r="Y82" s="18"/>
      <c r="Z82" s="18"/>
      <c r="AA82" s="18"/>
      <c r="AB82" s="18"/>
      <c r="AM82" s="14"/>
      <c r="AN82" s="14"/>
      <c r="AO82" s="14"/>
    </row>
    <row r="83" spans="3:41" ht="13.5" thickBot="1" x14ac:dyDescent="0.25">
      <c r="C83" s="41"/>
      <c r="D83" s="42"/>
      <c r="E83" s="42"/>
      <c r="F83" s="41"/>
      <c r="G83" s="41"/>
      <c r="H83" s="43"/>
      <c r="I83" s="17"/>
      <c r="J83" s="17"/>
      <c r="K83" s="17" t="s">
        <v>266</v>
      </c>
      <c r="L83" s="17"/>
      <c r="M83" s="17"/>
      <c r="N83" s="18"/>
      <c r="O83" s="18"/>
      <c r="P83" s="18"/>
      <c r="Q83" s="18"/>
      <c r="R83" s="18"/>
      <c r="S83" s="18"/>
      <c r="T83" s="18"/>
      <c r="U83" s="17"/>
      <c r="V83" s="17"/>
      <c r="W83" s="18"/>
      <c r="X83" s="18"/>
      <c r="Y83" s="18"/>
      <c r="Z83" s="18"/>
      <c r="AA83" s="18"/>
      <c r="AB83" s="18"/>
      <c r="AM83" s="14"/>
      <c r="AN83" s="14"/>
      <c r="AO83" s="14"/>
    </row>
    <row r="84" spans="3:41" ht="56.45" hidden="1" customHeight="1" thickBot="1" x14ac:dyDescent="0.25">
      <c r="K84" s="17"/>
      <c r="L84" s="17"/>
      <c r="M84" s="17"/>
      <c r="N84" s="18"/>
      <c r="O84" s="18"/>
      <c r="P84" s="18"/>
      <c r="Q84" s="18"/>
      <c r="R84" s="18"/>
      <c r="S84" s="18"/>
      <c r="T84" s="17"/>
      <c r="U84" s="17"/>
      <c r="V84" s="17"/>
      <c r="W84" s="18"/>
      <c r="X84" s="18"/>
      <c r="Y84" s="18"/>
      <c r="Z84" s="18"/>
      <c r="AA84" s="18"/>
      <c r="AB84" s="18"/>
      <c r="AM84" s="14"/>
      <c r="AN84" s="14"/>
      <c r="AO84" s="14"/>
    </row>
    <row r="85" spans="3:41" ht="13.5" thickBot="1" x14ac:dyDescent="0.25">
      <c r="C85" s="1"/>
      <c r="D85" s="2"/>
      <c r="E85" s="22"/>
      <c r="F85" s="1"/>
      <c r="G85" s="17"/>
      <c r="I85" s="17"/>
      <c r="J85" s="17"/>
      <c r="K85" s="17"/>
      <c r="L85" s="45">
        <f>(K71-L71)</f>
        <v>0</v>
      </c>
      <c r="M85" s="45">
        <f>(K71-M71)</f>
        <v>0</v>
      </c>
      <c r="N85" s="18"/>
      <c r="O85" s="45">
        <f>(N71-O71)</f>
        <v>0</v>
      </c>
      <c r="P85" s="45">
        <f>(N71-P71)</f>
        <v>0</v>
      </c>
      <c r="Q85" s="18"/>
      <c r="R85" s="45">
        <f>(Q71-R71)</f>
        <v>0</v>
      </c>
      <c r="S85" s="45">
        <f>(Q71-S71)</f>
        <v>0</v>
      </c>
      <c r="T85" s="17"/>
      <c r="U85" s="45">
        <f>(T71-U71)</f>
        <v>0</v>
      </c>
      <c r="V85" s="45">
        <f>(T71-V71)</f>
        <v>0</v>
      </c>
      <c r="W85" s="18"/>
      <c r="X85" s="45">
        <f>(W71-X71)</f>
        <v>0</v>
      </c>
      <c r="Y85" s="45">
        <f>(W71-Y71)</f>
        <v>0</v>
      </c>
      <c r="Z85" s="18"/>
      <c r="AA85" s="45">
        <f>(Z71-AA71)</f>
        <v>0</v>
      </c>
      <c r="AB85" s="45">
        <f>(Z71-AB71)</f>
        <v>0</v>
      </c>
      <c r="AM85" s="14"/>
      <c r="AN85" s="14"/>
      <c r="AO85" s="14"/>
    </row>
    <row r="86" spans="3:41" ht="32.450000000000003" customHeight="1" thickBot="1" x14ac:dyDescent="0.25">
      <c r="C86" s="7" t="s">
        <v>235</v>
      </c>
      <c r="D86" s="55">
        <f>SUM(K86+M86+L86+N86+O86+P86+Q86+R86+S86+I78+I80+I82)</f>
        <v>0</v>
      </c>
      <c r="H86" s="190" t="s">
        <v>2510</v>
      </c>
      <c r="I86" s="191"/>
      <c r="K86" s="45">
        <f>(K71-L85-M85)*O81</f>
        <v>0</v>
      </c>
      <c r="L86" s="46">
        <f>L85*N81</f>
        <v>0</v>
      </c>
      <c r="M86" s="46">
        <f>M85*M81</f>
        <v>0</v>
      </c>
      <c r="N86" s="45">
        <f>(N71-O85-P85)*O80</f>
        <v>0</v>
      </c>
      <c r="O86" s="46">
        <f>O85*N80</f>
        <v>0</v>
      </c>
      <c r="P86" s="46">
        <f>P85*M80</f>
        <v>0</v>
      </c>
      <c r="Q86" s="45">
        <f>(Q71-R85-S85)*O79</f>
        <v>0</v>
      </c>
      <c r="R86" s="46">
        <f>R85*N79</f>
        <v>0</v>
      </c>
      <c r="S86" s="46">
        <f>S85*M79</f>
        <v>0</v>
      </c>
      <c r="T86" s="45">
        <f>(T71-U85-V85)*X81</f>
        <v>0</v>
      </c>
      <c r="U86" s="46">
        <f>U85*W81</f>
        <v>0</v>
      </c>
      <c r="V86" s="46">
        <f>V85*V81</f>
        <v>0</v>
      </c>
      <c r="W86" s="45">
        <f>(W71-X85-Y85)*X80</f>
        <v>0</v>
      </c>
      <c r="X86" s="46">
        <f>X85*W80</f>
        <v>0</v>
      </c>
      <c r="Y86" s="46">
        <f>Y85*V80</f>
        <v>0</v>
      </c>
      <c r="Z86" s="45">
        <f>(Z71-AA85-AB85)*X79</f>
        <v>0</v>
      </c>
      <c r="AA86" s="46">
        <f>AA85*W79</f>
        <v>0</v>
      </c>
      <c r="AB86" s="46">
        <f>AB85*V79</f>
        <v>0</v>
      </c>
      <c r="AM86" s="14"/>
      <c r="AN86" s="14"/>
      <c r="AO86" s="14"/>
    </row>
    <row r="87" spans="3:41" ht="18.600000000000001" customHeight="1" x14ac:dyDescent="0.2">
      <c r="C87" s="64" t="s">
        <v>270</v>
      </c>
      <c r="H87" s="10" t="s">
        <v>2515</v>
      </c>
      <c r="I87" s="11">
        <f>K71</f>
        <v>0</v>
      </c>
      <c r="K87" s="124" t="s">
        <v>267</v>
      </c>
      <c r="L87" s="124" t="s">
        <v>2479</v>
      </c>
      <c r="M87" s="124" t="s">
        <v>2480</v>
      </c>
      <c r="N87" s="124" t="s">
        <v>268</v>
      </c>
      <c r="O87" s="124" t="s">
        <v>2481</v>
      </c>
      <c r="P87" s="124" t="s">
        <v>2482</v>
      </c>
      <c r="Q87" s="124" t="s">
        <v>269</v>
      </c>
      <c r="R87" s="124" t="s">
        <v>2483</v>
      </c>
      <c r="S87" s="124" t="s">
        <v>2484</v>
      </c>
      <c r="T87" s="122" t="s">
        <v>2434</v>
      </c>
      <c r="U87" s="122" t="s">
        <v>2473</v>
      </c>
      <c r="V87" s="122" t="s">
        <v>2474</v>
      </c>
      <c r="W87" s="122" t="s">
        <v>2435</v>
      </c>
      <c r="X87" s="122" t="s">
        <v>2475</v>
      </c>
      <c r="Y87" s="122" t="s">
        <v>2476</v>
      </c>
      <c r="Z87" s="122" t="s">
        <v>2436</v>
      </c>
      <c r="AA87" s="122" t="s">
        <v>2477</v>
      </c>
      <c r="AB87" s="122" t="s">
        <v>2478</v>
      </c>
      <c r="AM87" s="14"/>
      <c r="AN87" s="14"/>
      <c r="AO87" s="14"/>
    </row>
    <row r="88" spans="3:41" ht="18.600000000000001" customHeight="1" thickBot="1" x14ac:dyDescent="0.25">
      <c r="E88"/>
      <c r="H88" s="10" t="s">
        <v>2516</v>
      </c>
      <c r="I88" s="11">
        <f>N71</f>
        <v>0</v>
      </c>
      <c r="K88" s="125"/>
      <c r="L88" s="125"/>
      <c r="M88" s="125"/>
      <c r="N88" s="125"/>
      <c r="O88" s="125"/>
      <c r="P88" s="125"/>
      <c r="Q88" s="125"/>
      <c r="R88" s="125"/>
      <c r="S88" s="125"/>
      <c r="T88" s="123"/>
      <c r="U88" s="123"/>
      <c r="V88" s="123"/>
      <c r="W88" s="123"/>
      <c r="X88" s="123"/>
      <c r="Y88" s="123"/>
      <c r="Z88" s="123"/>
      <c r="AA88" s="123"/>
      <c r="AB88" s="123"/>
      <c r="AM88" s="14"/>
      <c r="AN88" s="14"/>
      <c r="AO88" s="14"/>
    </row>
    <row r="89" spans="3:41" ht="18.600000000000001" customHeight="1" x14ac:dyDescent="0.2">
      <c r="H89" s="8" t="s">
        <v>2514</v>
      </c>
      <c r="I89" s="9">
        <f>Q71</f>
        <v>0</v>
      </c>
      <c r="P89" s="18"/>
      <c r="T89" s="14"/>
      <c r="U89" s="14"/>
      <c r="W89"/>
      <c r="X89"/>
      <c r="AM89" s="14"/>
      <c r="AN89" s="14"/>
    </row>
    <row r="90" spans="3:41" ht="24.6" customHeight="1" thickBot="1" x14ac:dyDescent="0.25">
      <c r="H90" s="12" t="s">
        <v>210</v>
      </c>
      <c r="I90" s="13">
        <f>I89+I88+I87</f>
        <v>0</v>
      </c>
      <c r="T90" s="14"/>
      <c r="W90"/>
      <c r="AM90" s="14"/>
    </row>
    <row r="91" spans="3:41" ht="18.600000000000001" customHeight="1" thickBot="1" x14ac:dyDescent="0.25">
      <c r="H91" s="21"/>
      <c r="T91" s="14"/>
      <c r="W91"/>
      <c r="AM91" s="14"/>
    </row>
    <row r="92" spans="3:41" ht="22.9" customHeight="1" thickBot="1" x14ac:dyDescent="0.25">
      <c r="C92" s="150" t="s">
        <v>2511</v>
      </c>
      <c r="D92" s="151"/>
      <c r="E92" s="151"/>
      <c r="F92" s="152"/>
      <c r="H92" s="104" t="s">
        <v>209</v>
      </c>
      <c r="I92" s="11">
        <f>T71+W71+Z71</f>
        <v>0</v>
      </c>
      <c r="T92" s="14"/>
      <c r="W92"/>
      <c r="AM92" s="14"/>
    </row>
    <row r="93" spans="3:41" ht="37.9" customHeight="1" thickBot="1" x14ac:dyDescent="0.25">
      <c r="C93" s="181" t="s">
        <v>2508</v>
      </c>
      <c r="D93" s="182"/>
      <c r="E93" s="182"/>
      <c r="F93" s="183"/>
      <c r="H93" s="105" t="s">
        <v>2513</v>
      </c>
      <c r="I93" s="103">
        <f>T71</f>
        <v>0</v>
      </c>
      <c r="T93" s="14"/>
      <c r="W93"/>
      <c r="AM93" s="14"/>
    </row>
    <row r="94" spans="3:41" ht="27" customHeight="1" thickBot="1" x14ac:dyDescent="0.25">
      <c r="C94" s="160" t="s">
        <v>2507</v>
      </c>
      <c r="D94" s="163"/>
      <c r="E94"/>
      <c r="H94" s="94" t="s">
        <v>2433</v>
      </c>
      <c r="I94" s="95">
        <f>T86+U86+V86+W86+X86+Y86+Z86+AA86+AB86</f>
        <v>0</v>
      </c>
      <c r="T94" s="14"/>
      <c r="W94"/>
      <c r="AM94" s="14"/>
    </row>
    <row r="95" spans="3:41" ht="23.45" customHeight="1" x14ac:dyDescent="0.2">
      <c r="C95" s="161"/>
      <c r="D95" s="164"/>
      <c r="E95"/>
    </row>
    <row r="96" spans="3:41" ht="17.45" customHeight="1" thickBot="1" x14ac:dyDescent="0.25">
      <c r="C96" s="162"/>
      <c r="D96" s="165"/>
      <c r="E96"/>
    </row>
    <row r="97" spans="1:38" ht="6.6" customHeight="1" thickBot="1" x14ac:dyDescent="0.25">
      <c r="E97"/>
      <c r="G97"/>
      <c r="I97"/>
      <c r="J97"/>
      <c r="K97"/>
      <c r="L97"/>
      <c r="M97"/>
      <c r="N97"/>
      <c r="O97"/>
      <c r="P97"/>
      <c r="Q97"/>
      <c r="R97"/>
      <c r="S97"/>
      <c r="W97"/>
      <c r="X97"/>
      <c r="Y97"/>
      <c r="Z97"/>
      <c r="AA97"/>
      <c r="AB97"/>
      <c r="AC97"/>
      <c r="AD97"/>
      <c r="AE97"/>
      <c r="AF97"/>
      <c r="AG97"/>
      <c r="AH97"/>
      <c r="AI97"/>
      <c r="AJ97"/>
      <c r="AK97"/>
      <c r="AL97"/>
    </row>
    <row r="98" spans="1:38" ht="13.9" customHeight="1" x14ac:dyDescent="0.2">
      <c r="C98" s="184" t="s">
        <v>2509</v>
      </c>
      <c r="D98" s="185"/>
      <c r="E98" s="185"/>
      <c r="F98" s="185"/>
      <c r="G98" s="185"/>
      <c r="H98" s="185"/>
      <c r="I98" s="186"/>
    </row>
    <row r="99" spans="1:38" ht="13.9" customHeight="1" thickBot="1" x14ac:dyDescent="0.25">
      <c r="C99" s="187"/>
      <c r="D99" s="188"/>
      <c r="E99" s="188"/>
      <c r="F99" s="188"/>
      <c r="G99" s="188"/>
      <c r="H99" s="188"/>
      <c r="I99" s="189"/>
    </row>
    <row r="100" spans="1:38" ht="13.9" customHeight="1" x14ac:dyDescent="0.2">
      <c r="C100" s="172" t="s">
        <v>2544</v>
      </c>
      <c r="D100" s="173"/>
      <c r="E100" s="173"/>
      <c r="F100" s="173"/>
      <c r="G100" s="173"/>
      <c r="H100" s="173"/>
      <c r="I100" s="174"/>
    </row>
    <row r="101" spans="1:38" ht="13.9" customHeight="1" x14ac:dyDescent="0.2">
      <c r="C101" s="175"/>
      <c r="D101" s="176"/>
      <c r="E101" s="176"/>
      <c r="F101" s="176"/>
      <c r="G101" s="176"/>
      <c r="H101" s="176"/>
      <c r="I101" s="177"/>
    </row>
    <row r="102" spans="1:38" ht="25.9" customHeight="1" x14ac:dyDescent="0.2">
      <c r="C102" s="175"/>
      <c r="D102" s="176"/>
      <c r="E102" s="176"/>
      <c r="F102" s="176"/>
      <c r="G102" s="176"/>
      <c r="H102" s="176"/>
      <c r="I102" s="177"/>
    </row>
    <row r="103" spans="1:38" ht="25.15" customHeight="1" x14ac:dyDescent="0.2">
      <c r="C103" s="175"/>
      <c r="D103" s="176"/>
      <c r="E103" s="176"/>
      <c r="F103" s="176"/>
      <c r="G103" s="176"/>
      <c r="H103" s="176"/>
      <c r="I103" s="177"/>
      <c r="L103"/>
      <c r="M103"/>
      <c r="N103"/>
      <c r="O103"/>
      <c r="P103"/>
      <c r="Q103"/>
      <c r="R103"/>
      <c r="S103"/>
      <c r="W103"/>
      <c r="X103"/>
      <c r="Y103"/>
      <c r="Z103"/>
      <c r="AA103"/>
      <c r="AB103"/>
      <c r="AC103"/>
      <c r="AD103"/>
      <c r="AE103"/>
      <c r="AF103"/>
      <c r="AG103"/>
      <c r="AH103"/>
      <c r="AI103"/>
      <c r="AJ103"/>
      <c r="AK103"/>
      <c r="AL103"/>
    </row>
    <row r="104" spans="1:38" ht="13.5" thickBot="1" x14ac:dyDescent="0.25">
      <c r="C104" s="178"/>
      <c r="D104" s="179"/>
      <c r="E104" s="179"/>
      <c r="F104" s="179"/>
      <c r="G104" s="179"/>
      <c r="H104" s="179"/>
      <c r="I104" s="180"/>
      <c r="L104" s="16"/>
      <c r="M104" s="16"/>
      <c r="N104" s="16"/>
      <c r="O104" s="16"/>
      <c r="P104" s="16"/>
      <c r="Q104" s="16"/>
      <c r="R104" s="16"/>
    </row>
    <row r="106" spans="1:38" x14ac:dyDescent="0.2">
      <c r="A106" s="116" t="s">
        <v>2528</v>
      </c>
      <c r="B106" s="116" t="s">
        <v>2528</v>
      </c>
      <c r="C106" s="116" t="s">
        <v>2528</v>
      </c>
      <c r="D106" s="116" t="s">
        <v>2528</v>
      </c>
      <c r="E106" s="117" t="s">
        <v>2528</v>
      </c>
      <c r="F106" s="116" t="s">
        <v>2528</v>
      </c>
      <c r="G106" s="117" t="s">
        <v>2528</v>
      </c>
      <c r="H106" s="116" t="s">
        <v>2528</v>
      </c>
      <c r="I106" s="117" t="s">
        <v>2528</v>
      </c>
      <c r="J106" s="116"/>
      <c r="K106" s="116"/>
      <c r="L106" s="116"/>
      <c r="M106" s="116"/>
      <c r="N106" s="116"/>
      <c r="O106" s="116"/>
      <c r="P106" s="116"/>
      <c r="Q106" s="116"/>
      <c r="R106" s="116"/>
      <c r="S106" s="116"/>
      <c r="T106" s="116"/>
      <c r="U106" s="116"/>
      <c r="V106" s="116"/>
      <c r="W106" s="116"/>
      <c r="X106" s="116"/>
      <c r="Y106" s="116"/>
      <c r="Z106" s="116"/>
      <c r="AA106" s="116"/>
      <c r="AB106" s="116"/>
      <c r="AC106" s="116" t="s">
        <v>2528</v>
      </c>
      <c r="AD106" s="116" t="s">
        <v>2528</v>
      </c>
      <c r="AE106" s="116" t="s">
        <v>2528</v>
      </c>
      <c r="AF106" s="116" t="s">
        <v>2528</v>
      </c>
      <c r="AG106" s="116" t="s">
        <v>2528</v>
      </c>
      <c r="AH106" s="116" t="s">
        <v>2528</v>
      </c>
      <c r="AI106" s="116" t="s">
        <v>2528</v>
      </c>
      <c r="AJ106" s="116" t="s">
        <v>2528</v>
      </c>
    </row>
    <row r="111" spans="1:38" x14ac:dyDescent="0.2">
      <c r="I111"/>
      <c r="J111" s="21"/>
      <c r="K111"/>
    </row>
    <row r="117" spans="9:11" ht="15" x14ac:dyDescent="0.2">
      <c r="I117" s="36"/>
      <c r="J117" s="37"/>
      <c r="K117"/>
    </row>
    <row r="118" spans="9:11" ht="15.75" x14ac:dyDescent="0.25">
      <c r="I118" s="36"/>
      <c r="J118" s="38"/>
      <c r="K118"/>
    </row>
  </sheetData>
  <mergeCells count="40">
    <mergeCell ref="C94:C96"/>
    <mergeCell ref="D94:D96"/>
    <mergeCell ref="C76:I76"/>
    <mergeCell ref="C92:F92"/>
    <mergeCell ref="B28:D29"/>
    <mergeCell ref="C100:I104"/>
    <mergeCell ref="C93:F93"/>
    <mergeCell ref="C98:I99"/>
    <mergeCell ref="C82:H82"/>
    <mergeCell ref="H86:I86"/>
    <mergeCell ref="C2:AC2"/>
    <mergeCell ref="I4:AD4"/>
    <mergeCell ref="W87:W88"/>
    <mergeCell ref="S87:S88"/>
    <mergeCell ref="N87:N88"/>
    <mergeCell ref="F4:G4"/>
    <mergeCell ref="C80:H80"/>
    <mergeCell ref="B13:D13"/>
    <mergeCell ref="M87:M88"/>
    <mergeCell ref="C8:D8"/>
    <mergeCell ref="B22:D23"/>
    <mergeCell ref="B25:D26"/>
    <mergeCell ref="C43:D44"/>
    <mergeCell ref="AA87:AA88"/>
    <mergeCell ref="L87:L88"/>
    <mergeCell ref="C78:H78"/>
    <mergeCell ref="C31:D31"/>
    <mergeCell ref="C41:D42"/>
    <mergeCell ref="K87:K88"/>
    <mergeCell ref="P87:P88"/>
    <mergeCell ref="AB87:AB88"/>
    <mergeCell ref="X87:X88"/>
    <mergeCell ref="Y87:Y88"/>
    <mergeCell ref="O87:O88"/>
    <mergeCell ref="R87:R88"/>
    <mergeCell ref="T87:T88"/>
    <mergeCell ref="U87:U88"/>
    <mergeCell ref="V87:V88"/>
    <mergeCell ref="Q87:Q88"/>
    <mergeCell ref="Z87:Z88"/>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9225-E2B6-4931-8ACC-4613F5FC625E}">
  <dimension ref="A1:N1325"/>
  <sheetViews>
    <sheetView zoomScaleNormal="100" workbookViewId="0">
      <pane xSplit="2" ySplit="1" topLeftCell="C2" activePane="bottomRight" state="frozen"/>
      <selection pane="topRight" activeCell="C1" sqref="C1"/>
      <selection pane="bottomLeft" activeCell="A2" sqref="A2"/>
      <selection pane="bottomRight" activeCell="C5" sqref="C5"/>
    </sheetView>
  </sheetViews>
  <sheetFormatPr defaultRowHeight="12.75" x14ac:dyDescent="0.2"/>
  <cols>
    <col min="1" max="1" width="1.7109375" style="35" customWidth="1"/>
    <col min="2" max="2" width="40.85546875" style="35" customWidth="1"/>
    <col min="3" max="3" width="55.28515625" style="35" customWidth="1"/>
    <col min="4" max="4" width="11.85546875" style="19" customWidth="1"/>
    <col min="5" max="5" width="2.7109375" style="35" customWidth="1"/>
    <col min="6" max="6" width="3" style="35" customWidth="1"/>
    <col min="7" max="7" width="47.28515625" style="35" customWidth="1"/>
    <col min="8" max="8" width="18.28515625" style="35" customWidth="1"/>
    <col min="9" max="9" width="40.5703125" style="35" customWidth="1"/>
    <col min="10" max="10" width="15.42578125" style="35" customWidth="1"/>
    <col min="11" max="11" width="30.28515625" style="35" customWidth="1"/>
    <col min="12" max="12" width="9.85546875" style="19" customWidth="1"/>
    <col min="13" max="14" width="9.140625" style="19" customWidth="1"/>
    <col min="15" max="16384" width="9.140625" style="35"/>
  </cols>
  <sheetData>
    <row r="1" spans="2:9" ht="91.15" customHeight="1" thickBot="1" x14ac:dyDescent="0.25">
      <c r="B1" s="113" t="s">
        <v>2542</v>
      </c>
      <c r="C1" s="113" t="s">
        <v>2541</v>
      </c>
      <c r="D1" s="113" t="s">
        <v>2457</v>
      </c>
      <c r="F1" s="205" t="s">
        <v>2437</v>
      </c>
      <c r="G1" s="206"/>
      <c r="H1" s="206"/>
      <c r="I1" s="207"/>
    </row>
    <row r="2" spans="2:9" ht="13.5" thickBot="1" x14ac:dyDescent="0.25">
      <c r="B2" s="35" t="s">
        <v>1351</v>
      </c>
      <c r="C2" s="71" t="s">
        <v>529</v>
      </c>
      <c r="D2" s="20" t="s">
        <v>2458</v>
      </c>
    </row>
    <row r="3" spans="2:9" ht="13.5" thickBot="1" x14ac:dyDescent="0.25">
      <c r="B3" s="35" t="s">
        <v>484</v>
      </c>
      <c r="C3" s="71" t="s">
        <v>272</v>
      </c>
      <c r="D3" s="20" t="s">
        <v>2458</v>
      </c>
      <c r="F3" s="194" t="s">
        <v>1708</v>
      </c>
      <c r="G3" s="195"/>
      <c r="H3" s="195"/>
      <c r="I3" s="196"/>
    </row>
    <row r="4" spans="2:9" ht="13.9" customHeight="1" x14ac:dyDescent="0.2">
      <c r="B4" s="35" t="s">
        <v>1352</v>
      </c>
      <c r="C4" s="80" t="s">
        <v>530</v>
      </c>
      <c r="D4" s="20" t="s">
        <v>2459</v>
      </c>
      <c r="F4" s="121" t="s">
        <v>1707</v>
      </c>
      <c r="G4" s="192" t="s">
        <v>2209</v>
      </c>
      <c r="H4" s="192"/>
      <c r="I4" s="193"/>
    </row>
    <row r="5" spans="2:9" ht="13.9" customHeight="1" x14ac:dyDescent="0.2">
      <c r="B5" s="35" t="s">
        <v>2643</v>
      </c>
      <c r="C5" s="3" t="s">
        <v>531</v>
      </c>
      <c r="D5" s="20" t="s">
        <v>175</v>
      </c>
      <c r="G5" s="197" t="s">
        <v>2786</v>
      </c>
      <c r="H5" s="197"/>
      <c r="I5" s="198"/>
    </row>
    <row r="6" spans="2:9" ht="13.9" customHeight="1" x14ac:dyDescent="0.2">
      <c r="B6" s="35" t="s">
        <v>1353</v>
      </c>
      <c r="C6" s="71" t="s">
        <v>532</v>
      </c>
      <c r="D6" s="20" t="s">
        <v>2458</v>
      </c>
      <c r="F6" s="121"/>
      <c r="G6" s="197"/>
      <c r="H6" s="197"/>
      <c r="I6" s="198"/>
    </row>
    <row r="7" spans="2:9" x14ac:dyDescent="0.2">
      <c r="B7" s="35" t="s">
        <v>1354</v>
      </c>
      <c r="C7" s="65" t="s">
        <v>533</v>
      </c>
      <c r="D7" s="20" t="s">
        <v>2462</v>
      </c>
      <c r="F7" s="121"/>
      <c r="G7" s="197"/>
      <c r="H7" s="197"/>
      <c r="I7" s="198"/>
    </row>
    <row r="8" spans="2:9" ht="15.6" customHeight="1" x14ac:dyDescent="0.2">
      <c r="B8" s="35" t="s">
        <v>485</v>
      </c>
      <c r="C8" s="80" t="s">
        <v>273</v>
      </c>
      <c r="D8" s="20" t="s">
        <v>2459</v>
      </c>
      <c r="F8" s="121"/>
      <c r="G8" s="197" t="s">
        <v>2640</v>
      </c>
      <c r="H8" s="197"/>
      <c r="I8" s="198"/>
    </row>
    <row r="9" spans="2:9" x14ac:dyDescent="0.2">
      <c r="B9" s="35" t="s">
        <v>1355</v>
      </c>
      <c r="C9" s="80" t="s">
        <v>534</v>
      </c>
      <c r="D9" s="20" t="s">
        <v>2459</v>
      </c>
      <c r="F9" s="121"/>
      <c r="G9" s="197"/>
      <c r="H9" s="197"/>
      <c r="I9" s="198"/>
    </row>
    <row r="10" spans="2:9" x14ac:dyDescent="0.2">
      <c r="B10" s="35" t="s">
        <v>1356</v>
      </c>
      <c r="C10" s="80" t="s">
        <v>535</v>
      </c>
      <c r="D10" s="20" t="s">
        <v>2459</v>
      </c>
      <c r="F10" s="121"/>
      <c r="G10" s="192" t="s">
        <v>2210</v>
      </c>
      <c r="H10" s="192"/>
      <c r="I10" s="193"/>
    </row>
    <row r="11" spans="2:9" ht="14.45" customHeight="1" x14ac:dyDescent="0.2">
      <c r="B11" s="35" t="s">
        <v>1357</v>
      </c>
      <c r="C11" s="80" t="s">
        <v>536</v>
      </c>
      <c r="D11" s="20" t="s">
        <v>2459</v>
      </c>
      <c r="F11" s="121"/>
      <c r="G11" s="192" t="s">
        <v>256</v>
      </c>
      <c r="H11" s="192"/>
      <c r="I11" s="193"/>
    </row>
    <row r="12" spans="2:9" x14ac:dyDescent="0.2">
      <c r="B12" s="35" t="s">
        <v>1358</v>
      </c>
      <c r="C12" s="80" t="s">
        <v>537</v>
      </c>
      <c r="D12" s="20" t="s">
        <v>2459</v>
      </c>
      <c r="F12" s="121"/>
      <c r="G12" s="192" t="s">
        <v>2115</v>
      </c>
      <c r="H12" s="192"/>
      <c r="I12" s="193"/>
    </row>
    <row r="13" spans="2:9" ht="13.15" customHeight="1" x14ac:dyDescent="0.2">
      <c r="B13" s="35" t="s">
        <v>2</v>
      </c>
      <c r="C13" s="80" t="s">
        <v>188</v>
      </c>
      <c r="D13" s="20" t="s">
        <v>2459</v>
      </c>
      <c r="F13" s="199" t="s">
        <v>1707</v>
      </c>
      <c r="G13" s="197" t="s">
        <v>2116</v>
      </c>
      <c r="H13" s="197"/>
      <c r="I13" s="198"/>
    </row>
    <row r="14" spans="2:9" x14ac:dyDescent="0.2">
      <c r="B14" s="35" t="s">
        <v>486</v>
      </c>
      <c r="C14" s="80" t="s">
        <v>274</v>
      </c>
      <c r="D14" s="20" t="s">
        <v>2459</v>
      </c>
      <c r="F14" s="199"/>
      <c r="G14" s="197"/>
      <c r="H14" s="197"/>
      <c r="I14" s="198"/>
    </row>
    <row r="15" spans="2:9" ht="14.45" customHeight="1" x14ac:dyDescent="0.2">
      <c r="B15" s="35" t="s">
        <v>487</v>
      </c>
      <c r="C15" s="80" t="s">
        <v>275</v>
      </c>
      <c r="D15" s="20" t="s">
        <v>2459</v>
      </c>
      <c r="F15" s="199" t="s">
        <v>1707</v>
      </c>
      <c r="G15" s="197" t="s">
        <v>2192</v>
      </c>
      <c r="H15" s="197"/>
      <c r="I15" s="198"/>
    </row>
    <row r="16" spans="2:9" x14ac:dyDescent="0.2">
      <c r="B16" s="35" t="s">
        <v>3</v>
      </c>
      <c r="C16" s="80" t="s">
        <v>134</v>
      </c>
      <c r="D16" s="20" t="s">
        <v>2459</v>
      </c>
      <c r="F16" s="199"/>
      <c r="G16" s="197"/>
      <c r="H16" s="197"/>
      <c r="I16" s="198"/>
    </row>
    <row r="17" spans="2:14" x14ac:dyDescent="0.2">
      <c r="B17" s="35" t="s">
        <v>1359</v>
      </c>
      <c r="C17" s="80" t="s">
        <v>276</v>
      </c>
      <c r="D17" s="20" t="s">
        <v>2459</v>
      </c>
      <c r="F17" s="199"/>
      <c r="G17" s="197"/>
      <c r="H17" s="197"/>
      <c r="I17" s="198"/>
    </row>
    <row r="18" spans="2:14" x14ac:dyDescent="0.2">
      <c r="B18" s="35" t="s">
        <v>1360</v>
      </c>
      <c r="C18" s="80" t="s">
        <v>538</v>
      </c>
      <c r="D18" s="20" t="s">
        <v>2459</v>
      </c>
      <c r="F18" s="200"/>
      <c r="G18" s="201"/>
      <c r="H18" s="201"/>
      <c r="I18" s="202"/>
    </row>
    <row r="19" spans="2:14" ht="13.15" customHeight="1" x14ac:dyDescent="0.2">
      <c r="B19" s="35" t="s">
        <v>1361</v>
      </c>
      <c r="C19" s="80" t="s">
        <v>539</v>
      </c>
      <c r="D19" s="20" t="s">
        <v>2459</v>
      </c>
      <c r="F19" s="199" t="s">
        <v>1707</v>
      </c>
      <c r="G19" s="197" t="s">
        <v>2301</v>
      </c>
      <c r="H19" s="197"/>
      <c r="I19" s="198"/>
    </row>
    <row r="20" spans="2:14" ht="13.15" customHeight="1" x14ac:dyDescent="0.2">
      <c r="B20" s="35" t="s">
        <v>1362</v>
      </c>
      <c r="C20" s="80" t="s">
        <v>540</v>
      </c>
      <c r="D20" s="20" t="s">
        <v>2459</v>
      </c>
      <c r="F20" s="199"/>
      <c r="G20" s="197"/>
      <c r="H20" s="197"/>
      <c r="I20" s="198"/>
      <c r="N20" s="35"/>
    </row>
    <row r="21" spans="2:14" ht="14.45" customHeight="1" x14ac:dyDescent="0.2">
      <c r="B21" s="35" t="s">
        <v>1363</v>
      </c>
      <c r="C21" s="80" t="s">
        <v>541</v>
      </c>
      <c r="D21" s="20" t="s">
        <v>2459</v>
      </c>
      <c r="F21" s="199"/>
      <c r="G21" s="197"/>
      <c r="H21" s="197"/>
      <c r="I21" s="198"/>
    </row>
    <row r="22" spans="2:14" x14ac:dyDescent="0.2">
      <c r="B22" s="35" t="s">
        <v>488</v>
      </c>
      <c r="C22" s="80" t="s">
        <v>277</v>
      </c>
      <c r="D22" s="20" t="s">
        <v>2459</v>
      </c>
      <c r="F22" s="199"/>
      <c r="G22" s="197"/>
      <c r="H22" s="197"/>
      <c r="I22" s="198"/>
      <c r="N22" s="35"/>
    </row>
    <row r="23" spans="2:14" x14ac:dyDescent="0.2">
      <c r="B23" s="35" t="s">
        <v>1364</v>
      </c>
      <c r="C23" s="80" t="s">
        <v>278</v>
      </c>
      <c r="D23" s="20" t="s">
        <v>2459</v>
      </c>
      <c r="F23" s="199"/>
      <c r="G23" s="197"/>
      <c r="H23" s="197"/>
      <c r="I23" s="198"/>
      <c r="N23" s="35"/>
    </row>
    <row r="24" spans="2:14" x14ac:dyDescent="0.2">
      <c r="B24" s="35" t="s">
        <v>1365</v>
      </c>
      <c r="C24" s="80" t="s">
        <v>542</v>
      </c>
      <c r="D24" s="20" t="s">
        <v>2459</v>
      </c>
      <c r="F24" s="200"/>
      <c r="G24" s="201"/>
      <c r="H24" s="201"/>
      <c r="I24" s="202"/>
      <c r="N24" s="35"/>
    </row>
    <row r="25" spans="2:14" ht="13.15" customHeight="1" x14ac:dyDescent="0.2">
      <c r="B25" s="35" t="s">
        <v>1366</v>
      </c>
      <c r="C25" s="80" t="s">
        <v>543</v>
      </c>
      <c r="D25" s="20" t="s">
        <v>2459</v>
      </c>
      <c r="F25" s="199" t="s">
        <v>1707</v>
      </c>
      <c r="G25" s="197" t="s">
        <v>2639</v>
      </c>
      <c r="H25" s="197"/>
      <c r="I25" s="198"/>
    </row>
    <row r="26" spans="2:14" x14ac:dyDescent="0.2">
      <c r="B26" s="35" t="s">
        <v>1367</v>
      </c>
      <c r="C26" s="80" t="s">
        <v>544</v>
      </c>
      <c r="D26" s="20" t="s">
        <v>2459</v>
      </c>
      <c r="F26" s="199"/>
      <c r="G26" s="197"/>
      <c r="H26" s="197"/>
      <c r="I26" s="198"/>
    </row>
    <row r="27" spans="2:14" x14ac:dyDescent="0.2">
      <c r="B27" s="35" t="s">
        <v>1369</v>
      </c>
      <c r="C27" s="80" t="s">
        <v>279</v>
      </c>
      <c r="D27" s="20" t="s">
        <v>2459</v>
      </c>
      <c r="F27" s="199"/>
      <c r="G27" s="197"/>
      <c r="H27" s="197"/>
      <c r="I27" s="198"/>
    </row>
    <row r="28" spans="2:14" x14ac:dyDescent="0.2">
      <c r="B28" s="35" t="s">
        <v>1368</v>
      </c>
      <c r="C28" s="80" t="s">
        <v>545</v>
      </c>
      <c r="D28" s="20" t="s">
        <v>2459</v>
      </c>
      <c r="F28" s="199"/>
      <c r="G28" s="197"/>
      <c r="H28" s="197"/>
      <c r="I28" s="198"/>
    </row>
    <row r="29" spans="2:14" x14ac:dyDescent="0.2">
      <c r="B29" s="35" t="s">
        <v>1370</v>
      </c>
      <c r="C29" s="80" t="s">
        <v>546</v>
      </c>
      <c r="D29" s="20" t="s">
        <v>2459</v>
      </c>
      <c r="F29" s="199"/>
      <c r="G29" s="197"/>
      <c r="H29" s="197"/>
      <c r="I29" s="198"/>
      <c r="N29" s="35"/>
    </row>
    <row r="30" spans="2:14" ht="13.5" thickBot="1" x14ac:dyDescent="0.25">
      <c r="B30" s="35" t="s">
        <v>489</v>
      </c>
      <c r="C30" s="80" t="s">
        <v>280</v>
      </c>
      <c r="D30" s="20" t="s">
        <v>2459</v>
      </c>
      <c r="F30" s="118"/>
      <c r="G30" s="119"/>
      <c r="H30" s="119"/>
      <c r="I30" s="120"/>
      <c r="N30" s="35"/>
    </row>
    <row r="31" spans="2:14" x14ac:dyDescent="0.2">
      <c r="B31" s="35" t="s">
        <v>1371</v>
      </c>
      <c r="C31" s="80" t="s">
        <v>547</v>
      </c>
      <c r="D31" s="20" t="s">
        <v>2459</v>
      </c>
      <c r="F31" s="208" t="s">
        <v>2302</v>
      </c>
      <c r="G31" s="209"/>
      <c r="H31" s="210" t="s">
        <v>2303</v>
      </c>
      <c r="I31" s="211"/>
      <c r="N31" s="35"/>
    </row>
    <row r="32" spans="2:14" x14ac:dyDescent="0.2">
      <c r="B32" s="35" t="s">
        <v>1372</v>
      </c>
      <c r="C32" s="80" t="s">
        <v>548</v>
      </c>
      <c r="D32" s="20" t="s">
        <v>2459</v>
      </c>
      <c r="F32" s="114"/>
      <c r="G32" s="3" t="s">
        <v>1359</v>
      </c>
      <c r="H32" s="203" t="s">
        <v>276</v>
      </c>
      <c r="I32" s="204"/>
      <c r="N32" s="35"/>
    </row>
    <row r="33" spans="2:14" x14ac:dyDescent="0.2">
      <c r="B33" s="35" t="s">
        <v>490</v>
      </c>
      <c r="C33" s="80" t="s">
        <v>281</v>
      </c>
      <c r="D33" s="20" t="s">
        <v>2459</v>
      </c>
      <c r="F33" s="114"/>
      <c r="G33" s="3" t="s">
        <v>1360</v>
      </c>
      <c r="H33" s="203" t="s">
        <v>538</v>
      </c>
      <c r="I33" s="204"/>
      <c r="N33" s="35"/>
    </row>
    <row r="34" spans="2:14" x14ac:dyDescent="0.2">
      <c r="B34" s="35" t="s">
        <v>1373</v>
      </c>
      <c r="C34" s="80" t="s">
        <v>549</v>
      </c>
      <c r="D34" s="20" t="s">
        <v>2459</v>
      </c>
      <c r="F34" s="114"/>
      <c r="G34" s="3" t="s">
        <v>1369</v>
      </c>
      <c r="H34" s="203" t="s">
        <v>279</v>
      </c>
      <c r="I34" s="204"/>
    </row>
    <row r="35" spans="2:14" x14ac:dyDescent="0.2">
      <c r="B35" s="35" t="s">
        <v>491</v>
      </c>
      <c r="C35" s="80" t="s">
        <v>282</v>
      </c>
      <c r="D35" s="20" t="s">
        <v>2459</v>
      </c>
      <c r="F35" s="114"/>
      <c r="G35" s="3" t="s">
        <v>1368</v>
      </c>
      <c r="H35" s="203" t="s">
        <v>545</v>
      </c>
      <c r="I35" s="204"/>
      <c r="N35" s="35"/>
    </row>
    <row r="36" spans="2:14" x14ac:dyDescent="0.2">
      <c r="B36" s="35" t="s">
        <v>1374</v>
      </c>
      <c r="C36" s="80" t="s">
        <v>550</v>
      </c>
      <c r="D36" s="20" t="s">
        <v>2459</v>
      </c>
      <c r="F36" s="114"/>
      <c r="G36" s="3" t="s">
        <v>2421</v>
      </c>
      <c r="H36" s="203" t="s">
        <v>648</v>
      </c>
      <c r="I36" s="204"/>
      <c r="N36" s="35"/>
    </row>
    <row r="37" spans="2:14" x14ac:dyDescent="0.2">
      <c r="B37" s="35" t="s">
        <v>1608</v>
      </c>
      <c r="C37" s="80" t="s">
        <v>283</v>
      </c>
      <c r="D37" s="20" t="s">
        <v>2459</v>
      </c>
      <c r="F37" s="114"/>
      <c r="G37" s="3" t="s">
        <v>2422</v>
      </c>
      <c r="H37" s="203" t="s">
        <v>649</v>
      </c>
      <c r="I37" s="204"/>
      <c r="N37" s="35"/>
    </row>
    <row r="38" spans="2:14" x14ac:dyDescent="0.2">
      <c r="B38" s="35" t="s">
        <v>2644</v>
      </c>
      <c r="C38" s="80" t="s">
        <v>551</v>
      </c>
      <c r="D38" s="20" t="s">
        <v>2459</v>
      </c>
      <c r="F38" s="114"/>
      <c r="G38" s="3" t="s">
        <v>1476</v>
      </c>
      <c r="H38" s="203" t="s">
        <v>324</v>
      </c>
      <c r="I38" s="204"/>
      <c r="N38" s="35"/>
    </row>
    <row r="39" spans="2:14" x14ac:dyDescent="0.2">
      <c r="B39" s="35" t="s">
        <v>1375</v>
      </c>
      <c r="C39" s="80" t="s">
        <v>552</v>
      </c>
      <c r="D39" s="20" t="s">
        <v>2459</v>
      </c>
      <c r="F39" s="114"/>
      <c r="G39" s="3" t="s">
        <v>1477</v>
      </c>
      <c r="H39" s="203" t="s">
        <v>325</v>
      </c>
      <c r="I39" s="204"/>
      <c r="N39" s="35"/>
    </row>
    <row r="40" spans="2:14" x14ac:dyDescent="0.2">
      <c r="B40" s="35" t="s">
        <v>1376</v>
      </c>
      <c r="C40" s="80" t="s">
        <v>553</v>
      </c>
      <c r="D40" s="20" t="s">
        <v>2459</v>
      </c>
      <c r="F40" s="114"/>
      <c r="G40" s="3" t="s">
        <v>1575</v>
      </c>
      <c r="H40" s="203" t="s">
        <v>255</v>
      </c>
      <c r="I40" s="204"/>
      <c r="N40" s="35"/>
    </row>
    <row r="41" spans="2:14" x14ac:dyDescent="0.2">
      <c r="B41" s="35" t="s">
        <v>1377</v>
      </c>
      <c r="C41" s="80" t="s">
        <v>554</v>
      </c>
      <c r="D41" s="20" t="s">
        <v>2459</v>
      </c>
      <c r="F41" s="114"/>
      <c r="G41" s="3" t="s">
        <v>1576</v>
      </c>
      <c r="H41" s="203" t="s">
        <v>254</v>
      </c>
      <c r="I41" s="204"/>
      <c r="N41" s="35"/>
    </row>
    <row r="42" spans="2:14" x14ac:dyDescent="0.2">
      <c r="B42" s="35" t="s">
        <v>1378</v>
      </c>
      <c r="C42" s="80" t="s">
        <v>555</v>
      </c>
      <c r="D42" s="20" t="s">
        <v>2459</v>
      </c>
      <c r="F42" s="114"/>
      <c r="G42" s="3" t="s">
        <v>1623</v>
      </c>
      <c r="H42" s="203" t="s">
        <v>773</v>
      </c>
      <c r="I42" s="204"/>
    </row>
    <row r="43" spans="2:14" x14ac:dyDescent="0.2">
      <c r="B43" s="35" t="s">
        <v>1379</v>
      </c>
      <c r="C43" s="80" t="s">
        <v>556</v>
      </c>
      <c r="D43" s="20" t="s">
        <v>2459</v>
      </c>
      <c r="F43" s="114"/>
      <c r="G43" s="3" t="s">
        <v>1624</v>
      </c>
      <c r="H43" s="203" t="s">
        <v>774</v>
      </c>
      <c r="I43" s="204"/>
    </row>
    <row r="44" spans="2:14" x14ac:dyDescent="0.2">
      <c r="B44" s="35" t="s">
        <v>1380</v>
      </c>
      <c r="C44" s="80" t="s">
        <v>557</v>
      </c>
      <c r="D44" s="20" t="s">
        <v>2459</v>
      </c>
      <c r="F44" s="114"/>
      <c r="G44" s="3" t="s">
        <v>1689</v>
      </c>
      <c r="H44" s="203" t="s">
        <v>820</v>
      </c>
      <c r="I44" s="204"/>
    </row>
    <row r="45" spans="2:14" x14ac:dyDescent="0.2">
      <c r="B45" s="35" t="s">
        <v>1381</v>
      </c>
      <c r="C45" s="80" t="s">
        <v>558</v>
      </c>
      <c r="D45" s="20" t="s">
        <v>2459</v>
      </c>
      <c r="F45" s="114"/>
      <c r="G45" s="3" t="s">
        <v>1690</v>
      </c>
      <c r="H45" s="203" t="s">
        <v>821</v>
      </c>
      <c r="I45" s="204"/>
    </row>
    <row r="46" spans="2:14" x14ac:dyDescent="0.2">
      <c r="B46" s="35" t="s">
        <v>1382</v>
      </c>
      <c r="C46" s="3" t="s">
        <v>559</v>
      </c>
      <c r="D46" s="20" t="s">
        <v>2460</v>
      </c>
      <c r="F46" s="114"/>
      <c r="G46" s="3" t="s">
        <v>1696</v>
      </c>
      <c r="H46" s="203" t="s">
        <v>217</v>
      </c>
      <c r="I46" s="204"/>
    </row>
    <row r="47" spans="2:14" x14ac:dyDescent="0.2">
      <c r="B47" s="35" t="s">
        <v>1383</v>
      </c>
      <c r="C47" s="3" t="s">
        <v>560</v>
      </c>
      <c r="D47" s="20" t="s">
        <v>2460</v>
      </c>
      <c r="F47" s="114"/>
      <c r="G47" s="3" t="s">
        <v>1697</v>
      </c>
      <c r="H47" s="203" t="s">
        <v>218</v>
      </c>
      <c r="I47" s="204"/>
    </row>
    <row r="48" spans="2:14" x14ac:dyDescent="0.2">
      <c r="B48" s="35" t="s">
        <v>2645</v>
      </c>
      <c r="C48" s="3" t="s">
        <v>561</v>
      </c>
      <c r="D48" s="20" t="s">
        <v>175</v>
      </c>
      <c r="F48" s="114"/>
      <c r="G48" s="3" t="s">
        <v>1776</v>
      </c>
      <c r="H48" s="203" t="s">
        <v>249</v>
      </c>
      <c r="I48" s="204"/>
    </row>
    <row r="49" spans="2:14" x14ac:dyDescent="0.2">
      <c r="B49" s="35" t="s">
        <v>1384</v>
      </c>
      <c r="C49" s="80" t="s">
        <v>562</v>
      </c>
      <c r="D49" s="20" t="s">
        <v>2459</v>
      </c>
      <c r="F49" s="114"/>
      <c r="G49" s="3" t="s">
        <v>1777</v>
      </c>
      <c r="H49" s="203" t="s">
        <v>233</v>
      </c>
      <c r="I49" s="204"/>
    </row>
    <row r="50" spans="2:14" x14ac:dyDescent="0.2">
      <c r="B50" s="35" t="s">
        <v>492</v>
      </c>
      <c r="C50" s="71" t="s">
        <v>284</v>
      </c>
      <c r="D50" s="20" t="s">
        <v>2458</v>
      </c>
      <c r="F50" s="114"/>
      <c r="G50" s="3" t="s">
        <v>1866</v>
      </c>
      <c r="H50" s="203" t="s">
        <v>250</v>
      </c>
      <c r="I50" s="204"/>
    </row>
    <row r="51" spans="2:14" x14ac:dyDescent="0.2">
      <c r="B51" s="35" t="s">
        <v>1385</v>
      </c>
      <c r="C51" s="71" t="s">
        <v>563</v>
      </c>
      <c r="D51" s="20" t="s">
        <v>2458</v>
      </c>
      <c r="F51" s="114"/>
      <c r="G51" s="3" t="s">
        <v>1867</v>
      </c>
      <c r="H51" s="203" t="s">
        <v>248</v>
      </c>
      <c r="I51" s="204"/>
    </row>
    <row r="52" spans="2:14" x14ac:dyDescent="0.2">
      <c r="B52" s="35" t="s">
        <v>1386</v>
      </c>
      <c r="C52" s="71" t="s">
        <v>564</v>
      </c>
      <c r="D52" s="20" t="s">
        <v>2458</v>
      </c>
      <c r="F52" s="114"/>
      <c r="G52" s="3" t="s">
        <v>1883</v>
      </c>
      <c r="H52" s="203" t="s">
        <v>247</v>
      </c>
      <c r="I52" s="204"/>
      <c r="N52" s="35"/>
    </row>
    <row r="53" spans="2:14" x14ac:dyDescent="0.2">
      <c r="B53" s="35" t="s">
        <v>1387</v>
      </c>
      <c r="C53" s="71" t="s">
        <v>565</v>
      </c>
      <c r="D53" s="20" t="s">
        <v>2458</v>
      </c>
      <c r="F53" s="114"/>
      <c r="G53" s="3" t="s">
        <v>1884</v>
      </c>
      <c r="H53" s="203" t="s">
        <v>246</v>
      </c>
      <c r="I53" s="204"/>
      <c r="N53" s="35"/>
    </row>
    <row r="54" spans="2:14" x14ac:dyDescent="0.2">
      <c r="B54" s="35" t="s">
        <v>1388</v>
      </c>
      <c r="C54" s="71" t="s">
        <v>566</v>
      </c>
      <c r="D54" s="20" t="s">
        <v>2458</v>
      </c>
      <c r="F54" s="114"/>
      <c r="G54" s="3" t="s">
        <v>1960</v>
      </c>
      <c r="H54" s="203" t="s">
        <v>395</v>
      </c>
      <c r="I54" s="204"/>
      <c r="N54" s="35"/>
    </row>
    <row r="55" spans="2:14" x14ac:dyDescent="0.2">
      <c r="B55" s="35" t="s">
        <v>4</v>
      </c>
      <c r="C55" s="75" t="s">
        <v>567</v>
      </c>
      <c r="D55" s="20" t="s">
        <v>2463</v>
      </c>
      <c r="F55" s="114"/>
      <c r="G55" s="3" t="s">
        <v>1961</v>
      </c>
      <c r="H55" s="203" t="s">
        <v>1021</v>
      </c>
      <c r="I55" s="204"/>
      <c r="N55" s="35"/>
    </row>
    <row r="56" spans="2:14" x14ac:dyDescent="0.2">
      <c r="B56" s="35" t="s">
        <v>5</v>
      </c>
      <c r="C56" s="75" t="s">
        <v>6</v>
      </c>
      <c r="D56" s="20" t="s">
        <v>2463</v>
      </c>
      <c r="F56" s="114"/>
      <c r="G56" s="3" t="s">
        <v>2037</v>
      </c>
      <c r="H56" s="203" t="s">
        <v>1083</v>
      </c>
      <c r="I56" s="204"/>
    </row>
    <row r="57" spans="2:14" x14ac:dyDescent="0.2">
      <c r="B57" s="35" t="s">
        <v>7</v>
      </c>
      <c r="C57" s="75" t="s">
        <v>8</v>
      </c>
      <c r="D57" s="20" t="s">
        <v>2463</v>
      </c>
      <c r="F57" s="114"/>
      <c r="G57" s="3" t="s">
        <v>2038</v>
      </c>
      <c r="H57" s="203" t="s">
        <v>1084</v>
      </c>
      <c r="I57" s="204"/>
    </row>
    <row r="58" spans="2:14" x14ac:dyDescent="0.2">
      <c r="B58" s="35" t="s">
        <v>2646</v>
      </c>
      <c r="C58" s="75" t="s">
        <v>2647</v>
      </c>
      <c r="D58" s="20" t="s">
        <v>2463</v>
      </c>
      <c r="F58" s="114"/>
      <c r="G58" s="3" t="s">
        <v>2553</v>
      </c>
      <c r="H58" s="203" t="s">
        <v>2595</v>
      </c>
      <c r="I58" s="204"/>
    </row>
    <row r="59" spans="2:14" x14ac:dyDescent="0.2">
      <c r="B59" s="35" t="s">
        <v>9</v>
      </c>
      <c r="C59" s="71" t="s">
        <v>135</v>
      </c>
      <c r="D59" s="20" t="s">
        <v>2458</v>
      </c>
      <c r="F59" s="114"/>
      <c r="G59" s="3" t="s">
        <v>2573</v>
      </c>
      <c r="H59" s="203" t="s">
        <v>2616</v>
      </c>
      <c r="I59" s="204"/>
      <c r="N59" s="35"/>
    </row>
    <row r="60" spans="2:14" x14ac:dyDescent="0.2">
      <c r="B60" s="35" t="s">
        <v>1389</v>
      </c>
      <c r="C60" s="3" t="s">
        <v>285</v>
      </c>
      <c r="D60" s="20" t="s">
        <v>2460</v>
      </c>
      <c r="F60" s="114"/>
      <c r="G60" s="3" t="s">
        <v>2095</v>
      </c>
      <c r="H60" s="203" t="s">
        <v>1125</v>
      </c>
      <c r="I60" s="204"/>
      <c r="N60" s="35"/>
    </row>
    <row r="61" spans="2:14" x14ac:dyDescent="0.2">
      <c r="B61" s="35" t="s">
        <v>10</v>
      </c>
      <c r="C61" s="3" t="s">
        <v>286</v>
      </c>
      <c r="D61" s="20" t="s">
        <v>2460</v>
      </c>
      <c r="F61" s="114"/>
      <c r="G61" s="3" t="s">
        <v>2096</v>
      </c>
      <c r="H61" s="203" t="s">
        <v>1126</v>
      </c>
      <c r="I61" s="204"/>
      <c r="N61" s="35"/>
    </row>
    <row r="62" spans="2:14" x14ac:dyDescent="0.2">
      <c r="B62" s="35" t="s">
        <v>2648</v>
      </c>
      <c r="C62" s="3" t="s">
        <v>568</v>
      </c>
      <c r="D62" s="20" t="s">
        <v>2460</v>
      </c>
      <c r="F62" s="114"/>
      <c r="G62" s="3" t="s">
        <v>2439</v>
      </c>
      <c r="H62" s="203" t="s">
        <v>2440</v>
      </c>
      <c r="I62" s="204"/>
      <c r="N62" s="35"/>
    </row>
    <row r="63" spans="2:14" x14ac:dyDescent="0.2">
      <c r="B63" s="35" t="s">
        <v>493</v>
      </c>
      <c r="C63" s="65" t="s">
        <v>287</v>
      </c>
      <c r="D63" s="20" t="s">
        <v>2463</v>
      </c>
      <c r="F63" s="114"/>
      <c r="G63" s="3" t="s">
        <v>2593</v>
      </c>
      <c r="H63" s="203" t="s">
        <v>2596</v>
      </c>
      <c r="I63" s="204"/>
      <c r="N63" s="35"/>
    </row>
    <row r="64" spans="2:14" x14ac:dyDescent="0.2">
      <c r="B64" s="35" t="s">
        <v>1390</v>
      </c>
      <c r="C64" s="80" t="s">
        <v>569</v>
      </c>
      <c r="D64" s="20" t="s">
        <v>2459</v>
      </c>
      <c r="F64" s="114"/>
      <c r="G64" s="3" t="s">
        <v>2594</v>
      </c>
      <c r="H64" s="203" t="s">
        <v>2617</v>
      </c>
      <c r="I64" s="204"/>
      <c r="N64" s="35"/>
    </row>
    <row r="65" spans="2:14" x14ac:dyDescent="0.2">
      <c r="B65" s="35" t="s">
        <v>1391</v>
      </c>
      <c r="C65" s="80" t="s">
        <v>570</v>
      </c>
      <c r="D65" s="20" t="s">
        <v>2459</v>
      </c>
      <c r="F65" s="114"/>
      <c r="G65" s="3" t="s">
        <v>2554</v>
      </c>
      <c r="H65" s="203" t="s">
        <v>2597</v>
      </c>
      <c r="I65" s="204"/>
    </row>
    <row r="66" spans="2:14" x14ac:dyDescent="0.2">
      <c r="B66" s="35" t="s">
        <v>494</v>
      </c>
      <c r="C66" s="3" t="s">
        <v>288</v>
      </c>
      <c r="D66" s="20" t="s">
        <v>2460</v>
      </c>
      <c r="F66" s="114"/>
      <c r="G66" s="3" t="s">
        <v>2574</v>
      </c>
      <c r="H66" s="203" t="s">
        <v>2618</v>
      </c>
      <c r="I66" s="204"/>
      <c r="N66" s="35"/>
    </row>
    <row r="67" spans="2:14" x14ac:dyDescent="0.2">
      <c r="B67" s="35" t="s">
        <v>495</v>
      </c>
      <c r="C67" s="80" t="s">
        <v>289</v>
      </c>
      <c r="D67" s="20" t="s">
        <v>2459</v>
      </c>
      <c r="F67" s="114"/>
      <c r="G67" s="3" t="s">
        <v>2180</v>
      </c>
      <c r="H67" s="203" t="s">
        <v>2181</v>
      </c>
      <c r="I67" s="204"/>
      <c r="N67" s="35"/>
    </row>
    <row r="68" spans="2:14" x14ac:dyDescent="0.2">
      <c r="B68" s="35" t="s">
        <v>1392</v>
      </c>
      <c r="C68" s="2" t="s">
        <v>571</v>
      </c>
      <c r="D68" s="20" t="s">
        <v>2460</v>
      </c>
      <c r="F68" s="114"/>
      <c r="G68" s="3" t="s">
        <v>2178</v>
      </c>
      <c r="H68" s="203" t="s">
        <v>2179</v>
      </c>
      <c r="I68" s="204"/>
      <c r="N68" s="35"/>
    </row>
    <row r="69" spans="2:14" x14ac:dyDescent="0.2">
      <c r="B69" s="35" t="s">
        <v>496</v>
      </c>
      <c r="C69" s="65" t="s">
        <v>290</v>
      </c>
      <c r="D69" s="20" t="s">
        <v>2463</v>
      </c>
      <c r="F69" s="114"/>
      <c r="G69" s="3" t="s">
        <v>2555</v>
      </c>
      <c r="H69" s="203" t="s">
        <v>2598</v>
      </c>
      <c r="I69" s="204"/>
    </row>
    <row r="70" spans="2:14" x14ac:dyDescent="0.2">
      <c r="B70" s="35" t="s">
        <v>2649</v>
      </c>
      <c r="C70" s="3" t="s">
        <v>572</v>
      </c>
      <c r="D70" s="20" t="s">
        <v>175</v>
      </c>
      <c r="F70" s="114"/>
      <c r="G70" s="3" t="s">
        <v>2575</v>
      </c>
      <c r="H70" s="203" t="s">
        <v>2619</v>
      </c>
      <c r="I70" s="204"/>
      <c r="N70" s="35"/>
    </row>
    <row r="71" spans="2:14" x14ac:dyDescent="0.2">
      <c r="B71" s="35" t="s">
        <v>1393</v>
      </c>
      <c r="C71" s="3" t="s">
        <v>291</v>
      </c>
      <c r="D71" s="20" t="s">
        <v>2460</v>
      </c>
      <c r="E71" s="68"/>
      <c r="F71" s="114"/>
      <c r="G71" s="3" t="s">
        <v>2556</v>
      </c>
      <c r="H71" s="203" t="s">
        <v>2599</v>
      </c>
      <c r="I71" s="204"/>
    </row>
    <row r="72" spans="2:14" x14ac:dyDescent="0.2">
      <c r="B72" s="35" t="s">
        <v>1394</v>
      </c>
      <c r="C72" s="3" t="s">
        <v>573</v>
      </c>
      <c r="D72" s="20" t="s">
        <v>2460</v>
      </c>
      <c r="F72" s="114"/>
      <c r="G72" s="3" t="s">
        <v>2576</v>
      </c>
      <c r="H72" s="203" t="s">
        <v>2620</v>
      </c>
      <c r="I72" s="204"/>
      <c r="N72" s="35"/>
    </row>
    <row r="73" spans="2:14" x14ac:dyDescent="0.2">
      <c r="B73" s="35" t="s">
        <v>1395</v>
      </c>
      <c r="C73" s="80" t="s">
        <v>574</v>
      </c>
      <c r="D73" s="20" t="s">
        <v>2459</v>
      </c>
      <c r="F73" s="114"/>
      <c r="G73" s="3" t="s">
        <v>2557</v>
      </c>
      <c r="H73" s="203" t="s">
        <v>2600</v>
      </c>
      <c r="I73" s="204"/>
    </row>
    <row r="74" spans="2:14" x14ac:dyDescent="0.2">
      <c r="B74" s="35" t="s">
        <v>1396</v>
      </c>
      <c r="C74" s="76" t="s">
        <v>575</v>
      </c>
      <c r="D74" s="20" t="s">
        <v>2463</v>
      </c>
      <c r="F74" s="114"/>
      <c r="G74" s="3" t="s">
        <v>2577</v>
      </c>
      <c r="H74" s="203" t="s">
        <v>2273</v>
      </c>
      <c r="I74" s="204"/>
    </row>
    <row r="75" spans="2:14" x14ac:dyDescent="0.2">
      <c r="B75" s="35" t="s">
        <v>1397</v>
      </c>
      <c r="C75" s="76" t="s">
        <v>576</v>
      </c>
      <c r="D75" s="20" t="s">
        <v>2463</v>
      </c>
      <c r="F75" s="114"/>
      <c r="G75" s="3" t="s">
        <v>2326</v>
      </c>
      <c r="H75" s="203" t="s">
        <v>1289</v>
      </c>
      <c r="I75" s="204"/>
    </row>
    <row r="76" spans="2:14" x14ac:dyDescent="0.2">
      <c r="B76" s="35" t="s">
        <v>1398</v>
      </c>
      <c r="C76" s="76" t="s">
        <v>577</v>
      </c>
      <c r="D76" s="20" t="s">
        <v>2463</v>
      </c>
      <c r="F76" s="114"/>
      <c r="G76" s="3" t="s">
        <v>2558</v>
      </c>
      <c r="H76" s="203" t="s">
        <v>2601</v>
      </c>
      <c r="I76" s="204"/>
    </row>
    <row r="77" spans="2:14" x14ac:dyDescent="0.2">
      <c r="B77" s="35" t="s">
        <v>1399</v>
      </c>
      <c r="C77" s="80" t="s">
        <v>578</v>
      </c>
      <c r="D77" s="20" t="s">
        <v>2459</v>
      </c>
      <c r="F77" s="114"/>
      <c r="G77" s="3" t="s">
        <v>2578</v>
      </c>
      <c r="H77" s="203" t="s">
        <v>2621</v>
      </c>
      <c r="I77" s="204"/>
      <c r="N77" s="35"/>
    </row>
    <row r="78" spans="2:14" x14ac:dyDescent="0.2">
      <c r="B78" s="35" t="s">
        <v>11</v>
      </c>
      <c r="C78" s="80" t="s">
        <v>12</v>
      </c>
      <c r="D78" s="20" t="s">
        <v>2459</v>
      </c>
      <c r="F78" s="114"/>
      <c r="G78" s="3" t="s">
        <v>2559</v>
      </c>
      <c r="H78" s="203" t="s">
        <v>2602</v>
      </c>
      <c r="I78" s="204"/>
      <c r="N78" s="35"/>
    </row>
    <row r="79" spans="2:14" x14ac:dyDescent="0.2">
      <c r="B79" s="35" t="s">
        <v>2650</v>
      </c>
      <c r="C79" s="80" t="s">
        <v>245</v>
      </c>
      <c r="D79" s="20" t="s">
        <v>2459</v>
      </c>
      <c r="F79" s="114"/>
      <c r="G79" s="3" t="s">
        <v>2579</v>
      </c>
      <c r="H79" s="203" t="s">
        <v>2622</v>
      </c>
      <c r="I79" s="204"/>
      <c r="N79" s="35"/>
    </row>
    <row r="80" spans="2:14" x14ac:dyDescent="0.2">
      <c r="B80" s="35" t="s">
        <v>1400</v>
      </c>
      <c r="C80" s="3" t="s">
        <v>579</v>
      </c>
      <c r="D80" s="20" t="s">
        <v>580</v>
      </c>
      <c r="F80" s="114"/>
      <c r="G80" s="3" t="s">
        <v>2401</v>
      </c>
      <c r="H80" s="203" t="s">
        <v>475</v>
      </c>
      <c r="I80" s="204"/>
      <c r="N80" s="35"/>
    </row>
    <row r="81" spans="2:14" x14ac:dyDescent="0.2">
      <c r="B81" s="35" t="s">
        <v>1401</v>
      </c>
      <c r="C81" s="3" t="s">
        <v>581</v>
      </c>
      <c r="D81" s="20" t="s">
        <v>580</v>
      </c>
      <c r="F81" s="114"/>
      <c r="G81" s="3" t="s">
        <v>2402</v>
      </c>
      <c r="H81" s="203" t="s">
        <v>130</v>
      </c>
      <c r="I81" s="204"/>
      <c r="N81" s="35"/>
    </row>
    <row r="82" spans="2:14" ht="13.5" thickBot="1" x14ac:dyDescent="0.25">
      <c r="B82" s="35" t="s">
        <v>2651</v>
      </c>
      <c r="C82" s="3" t="s">
        <v>292</v>
      </c>
      <c r="D82" s="20" t="s">
        <v>580</v>
      </c>
      <c r="F82" s="115"/>
      <c r="G82" s="66"/>
      <c r="H82" s="66"/>
      <c r="I82" s="67"/>
    </row>
    <row r="83" spans="2:14" x14ac:dyDescent="0.2">
      <c r="B83" s="35" t="s">
        <v>13</v>
      </c>
      <c r="C83" s="65" t="s">
        <v>14</v>
      </c>
      <c r="D83" s="20" t="s">
        <v>2463</v>
      </c>
      <c r="N83" s="35"/>
    </row>
    <row r="84" spans="2:14" x14ac:dyDescent="0.2">
      <c r="B84" s="35" t="s">
        <v>1402</v>
      </c>
      <c r="C84" s="77" t="s">
        <v>582</v>
      </c>
      <c r="D84" s="20" t="s">
        <v>2463</v>
      </c>
      <c r="N84" s="35"/>
    </row>
    <row r="85" spans="2:14" x14ac:dyDescent="0.2">
      <c r="B85" s="35" t="s">
        <v>2526</v>
      </c>
      <c r="C85" s="65" t="s">
        <v>2518</v>
      </c>
      <c r="D85" s="20" t="s">
        <v>2461</v>
      </c>
    </row>
    <row r="86" spans="2:14" x14ac:dyDescent="0.2">
      <c r="B86" s="35" t="s">
        <v>1403</v>
      </c>
      <c r="C86" s="3" t="s">
        <v>583</v>
      </c>
      <c r="D86" s="20" t="s">
        <v>2460</v>
      </c>
      <c r="N86" s="35"/>
    </row>
    <row r="87" spans="2:14" x14ac:dyDescent="0.2">
      <c r="B87" s="35" t="s">
        <v>1404</v>
      </c>
      <c r="C87" s="3" t="s">
        <v>584</v>
      </c>
      <c r="D87" s="20" t="s">
        <v>2460</v>
      </c>
    </row>
    <row r="88" spans="2:14" x14ac:dyDescent="0.2">
      <c r="B88" s="35" t="s">
        <v>15</v>
      </c>
      <c r="C88" s="71" t="s">
        <v>136</v>
      </c>
      <c r="D88" s="20" t="s">
        <v>2458</v>
      </c>
    </row>
    <row r="89" spans="2:14" x14ac:dyDescent="0.2">
      <c r="B89" s="35" t="s">
        <v>2652</v>
      </c>
      <c r="C89" s="3" t="s">
        <v>585</v>
      </c>
      <c r="D89" s="20" t="s">
        <v>175</v>
      </c>
      <c r="N89" s="35"/>
    </row>
    <row r="90" spans="2:14" x14ac:dyDescent="0.2">
      <c r="B90" s="35" t="s">
        <v>1405</v>
      </c>
      <c r="C90" s="80" t="s">
        <v>293</v>
      </c>
      <c r="D90" s="20" t="s">
        <v>2459</v>
      </c>
      <c r="N90" s="35"/>
    </row>
    <row r="91" spans="2:14" x14ac:dyDescent="0.2">
      <c r="B91" s="35" t="s">
        <v>528</v>
      </c>
      <c r="C91" s="65" t="s">
        <v>294</v>
      </c>
      <c r="D91" s="20" t="s">
        <v>2463</v>
      </c>
      <c r="H91" s="68"/>
      <c r="N91" s="35"/>
    </row>
    <row r="92" spans="2:14" x14ac:dyDescent="0.2">
      <c r="B92" s="35" t="s">
        <v>1406</v>
      </c>
      <c r="C92" s="65" t="s">
        <v>586</v>
      </c>
      <c r="D92" s="20" t="s">
        <v>2463</v>
      </c>
      <c r="H92" s="68"/>
      <c r="N92" s="35"/>
    </row>
    <row r="93" spans="2:14" x14ac:dyDescent="0.2">
      <c r="B93" s="35" t="s">
        <v>1407</v>
      </c>
      <c r="C93" s="65" t="s">
        <v>587</v>
      </c>
      <c r="D93" s="20" t="s">
        <v>2463</v>
      </c>
    </row>
    <row r="94" spans="2:14" x14ac:dyDescent="0.2">
      <c r="B94" s="35" t="s">
        <v>1408</v>
      </c>
      <c r="C94" s="65" t="s">
        <v>588</v>
      </c>
      <c r="D94" s="20" t="s">
        <v>2463</v>
      </c>
      <c r="H94" s="68"/>
      <c r="N94" s="35"/>
    </row>
    <row r="95" spans="2:14" x14ac:dyDescent="0.2">
      <c r="B95" s="35" t="s">
        <v>497</v>
      </c>
      <c r="C95" s="3" t="s">
        <v>295</v>
      </c>
      <c r="D95" s="20" t="s">
        <v>2460</v>
      </c>
      <c r="N95" s="35"/>
    </row>
    <row r="96" spans="2:14" x14ac:dyDescent="0.2">
      <c r="B96" s="35" t="s">
        <v>1409</v>
      </c>
      <c r="C96" s="3" t="s">
        <v>589</v>
      </c>
      <c r="D96" s="20" t="s">
        <v>2460</v>
      </c>
    </row>
    <row r="97" spans="2:14" x14ac:dyDescent="0.2">
      <c r="B97" s="35" t="s">
        <v>1410</v>
      </c>
      <c r="C97" s="3" t="s">
        <v>296</v>
      </c>
      <c r="D97" s="20" t="s">
        <v>2460</v>
      </c>
      <c r="N97" s="35"/>
    </row>
    <row r="98" spans="2:14" x14ac:dyDescent="0.2">
      <c r="B98" s="35" t="s">
        <v>1411</v>
      </c>
      <c r="C98" s="3" t="s">
        <v>590</v>
      </c>
      <c r="D98" s="20" t="s">
        <v>2460</v>
      </c>
    </row>
    <row r="99" spans="2:14" x14ac:dyDescent="0.2">
      <c r="B99" s="35" t="s">
        <v>498</v>
      </c>
      <c r="C99" s="3" t="s">
        <v>591</v>
      </c>
      <c r="D99" s="20" t="s">
        <v>2460</v>
      </c>
      <c r="G99" s="68"/>
      <c r="N99" s="35"/>
    </row>
    <row r="100" spans="2:14" x14ac:dyDescent="0.2">
      <c r="B100" s="35" t="s">
        <v>499</v>
      </c>
      <c r="C100" s="3" t="s">
        <v>297</v>
      </c>
      <c r="D100" s="20" t="s">
        <v>2460</v>
      </c>
      <c r="F100" s="68"/>
      <c r="G100" s="68"/>
      <c r="N100" s="35"/>
    </row>
    <row r="101" spans="2:14" x14ac:dyDescent="0.2">
      <c r="B101" s="35" t="s">
        <v>1412</v>
      </c>
      <c r="C101" s="78" t="s">
        <v>592</v>
      </c>
      <c r="D101" s="20" t="s">
        <v>2459</v>
      </c>
      <c r="N101" s="35"/>
    </row>
    <row r="102" spans="2:14" x14ac:dyDescent="0.2">
      <c r="B102" s="35" t="s">
        <v>1413</v>
      </c>
      <c r="C102" s="71" t="s">
        <v>593</v>
      </c>
      <c r="D102" s="20" t="s">
        <v>2458</v>
      </c>
      <c r="G102" s="68"/>
      <c r="N102" s="35"/>
    </row>
    <row r="103" spans="2:14" x14ac:dyDescent="0.2">
      <c r="B103" s="35" t="s">
        <v>500</v>
      </c>
      <c r="C103" s="3" t="s">
        <v>298</v>
      </c>
      <c r="D103" s="20" t="s">
        <v>2460</v>
      </c>
    </row>
    <row r="104" spans="2:14" x14ac:dyDescent="0.2">
      <c r="B104" s="35" t="s">
        <v>1414</v>
      </c>
      <c r="C104" s="3" t="s">
        <v>594</v>
      </c>
      <c r="D104" s="20" t="s">
        <v>2460</v>
      </c>
      <c r="N104" s="35"/>
    </row>
    <row r="105" spans="2:14" x14ac:dyDescent="0.2">
      <c r="B105" s="35" t="s">
        <v>1415</v>
      </c>
      <c r="C105" s="3" t="s">
        <v>595</v>
      </c>
      <c r="D105" s="20" t="s">
        <v>2460</v>
      </c>
      <c r="N105" s="35"/>
    </row>
    <row r="106" spans="2:14" x14ac:dyDescent="0.2">
      <c r="B106" s="35" t="s">
        <v>16</v>
      </c>
      <c r="C106" s="3" t="s">
        <v>137</v>
      </c>
      <c r="D106" s="20" t="s">
        <v>2460</v>
      </c>
      <c r="H106" s="68"/>
      <c r="N106" s="35"/>
    </row>
    <row r="107" spans="2:14" x14ac:dyDescent="0.2">
      <c r="B107" s="35" t="s">
        <v>2653</v>
      </c>
      <c r="C107" s="3" t="s">
        <v>596</v>
      </c>
      <c r="D107" s="20" t="s">
        <v>175</v>
      </c>
    </row>
    <row r="108" spans="2:14" x14ac:dyDescent="0.2">
      <c r="B108" s="35" t="s">
        <v>1416</v>
      </c>
      <c r="C108" s="3" t="s">
        <v>597</v>
      </c>
      <c r="D108" s="20" t="s">
        <v>2460</v>
      </c>
      <c r="N108" s="35"/>
    </row>
    <row r="109" spans="2:14" x14ac:dyDescent="0.2">
      <c r="B109" s="35" t="s">
        <v>1417</v>
      </c>
      <c r="C109" s="79" t="s">
        <v>598</v>
      </c>
      <c r="D109" s="20" t="s">
        <v>2460</v>
      </c>
      <c r="N109" s="35"/>
    </row>
    <row r="110" spans="2:14" x14ac:dyDescent="0.2">
      <c r="B110" s="35" t="s">
        <v>17</v>
      </c>
      <c r="C110" s="71" t="s">
        <v>138</v>
      </c>
      <c r="D110" s="20" t="s">
        <v>2458</v>
      </c>
    </row>
    <row r="111" spans="2:14" x14ac:dyDescent="0.2">
      <c r="B111" s="35" t="s">
        <v>230</v>
      </c>
      <c r="C111" s="71" t="s">
        <v>231</v>
      </c>
      <c r="D111" s="20" t="s">
        <v>2458</v>
      </c>
      <c r="N111" s="35"/>
    </row>
    <row r="112" spans="2:14" x14ac:dyDescent="0.2">
      <c r="B112" s="35" t="s">
        <v>2654</v>
      </c>
      <c r="C112" s="71" t="s">
        <v>299</v>
      </c>
      <c r="D112" s="20" t="s">
        <v>2458</v>
      </c>
      <c r="F112" s="68"/>
      <c r="N112" s="35"/>
    </row>
    <row r="113" spans="2:14" x14ac:dyDescent="0.2">
      <c r="B113" s="35" t="s">
        <v>1418</v>
      </c>
      <c r="C113" s="71" t="s">
        <v>599</v>
      </c>
      <c r="D113" s="20" t="s">
        <v>2458</v>
      </c>
      <c r="G113" s="68"/>
    </row>
    <row r="114" spans="2:14" x14ac:dyDescent="0.2">
      <c r="B114" s="35" t="s">
        <v>1419</v>
      </c>
      <c r="C114" s="71" t="s">
        <v>600</v>
      </c>
      <c r="D114" s="20" t="s">
        <v>2458</v>
      </c>
      <c r="N114" s="35"/>
    </row>
    <row r="115" spans="2:14" x14ac:dyDescent="0.2">
      <c r="B115" s="35" t="s">
        <v>1420</v>
      </c>
      <c r="C115" s="65" t="s">
        <v>601</v>
      </c>
      <c r="D115" s="20" t="s">
        <v>2460</v>
      </c>
      <c r="F115" s="68"/>
      <c r="N115" s="35"/>
    </row>
    <row r="116" spans="2:14" x14ac:dyDescent="0.2">
      <c r="B116" s="35" t="s">
        <v>2527</v>
      </c>
      <c r="C116" s="65" t="s">
        <v>2519</v>
      </c>
      <c r="D116" s="20" t="s">
        <v>2461</v>
      </c>
      <c r="N116" s="35"/>
    </row>
    <row r="117" spans="2:14" x14ac:dyDescent="0.2">
      <c r="B117" s="35" t="s">
        <v>1421</v>
      </c>
      <c r="C117" s="65" t="s">
        <v>602</v>
      </c>
      <c r="D117" s="20" t="s">
        <v>2462</v>
      </c>
      <c r="N117" s="35"/>
    </row>
    <row r="118" spans="2:14" x14ac:dyDescent="0.2">
      <c r="B118" s="35" t="s">
        <v>18</v>
      </c>
      <c r="C118" s="3" t="s">
        <v>139</v>
      </c>
      <c r="D118" s="20" t="s">
        <v>2460</v>
      </c>
      <c r="N118" s="35"/>
    </row>
    <row r="119" spans="2:14" x14ac:dyDescent="0.2">
      <c r="B119" s="35" t="s">
        <v>1422</v>
      </c>
      <c r="C119" s="71" t="s">
        <v>603</v>
      </c>
      <c r="D119" s="20" t="s">
        <v>2458</v>
      </c>
    </row>
    <row r="120" spans="2:14" x14ac:dyDescent="0.2">
      <c r="B120" s="35" t="s">
        <v>1423</v>
      </c>
      <c r="C120" s="71" t="s">
        <v>604</v>
      </c>
      <c r="D120" s="20" t="s">
        <v>2458</v>
      </c>
      <c r="N120" s="35"/>
    </row>
    <row r="121" spans="2:14" x14ac:dyDescent="0.2">
      <c r="B121" s="35" t="s">
        <v>2655</v>
      </c>
      <c r="C121" s="3" t="s">
        <v>19</v>
      </c>
      <c r="D121" s="20" t="s">
        <v>175</v>
      </c>
      <c r="N121" s="35"/>
    </row>
    <row r="122" spans="2:14" x14ac:dyDescent="0.2">
      <c r="B122" s="35" t="s">
        <v>501</v>
      </c>
      <c r="C122" s="65" t="s">
        <v>300</v>
      </c>
      <c r="D122" s="20" t="s">
        <v>2462</v>
      </c>
    </row>
    <row r="123" spans="2:14" x14ac:dyDescent="0.2">
      <c r="B123" s="35" t="s">
        <v>1424</v>
      </c>
      <c r="C123" s="71" t="s">
        <v>605</v>
      </c>
      <c r="D123" s="20" t="s">
        <v>2458</v>
      </c>
      <c r="H123" s="68"/>
      <c r="N123" s="35"/>
    </row>
    <row r="124" spans="2:14" x14ac:dyDescent="0.2">
      <c r="B124" s="35" t="s">
        <v>20</v>
      </c>
      <c r="C124" s="65" t="s">
        <v>21</v>
      </c>
      <c r="D124" s="20" t="s">
        <v>2463</v>
      </c>
      <c r="N124" s="35"/>
    </row>
    <row r="125" spans="2:14" x14ac:dyDescent="0.2">
      <c r="B125" s="3" t="s">
        <v>2580</v>
      </c>
      <c r="C125" s="71" t="s">
        <v>2623</v>
      </c>
      <c r="D125" s="20" t="s">
        <v>2458</v>
      </c>
    </row>
    <row r="126" spans="2:14" x14ac:dyDescent="0.2">
      <c r="B126" s="3" t="s">
        <v>2560</v>
      </c>
      <c r="C126" s="80" t="s">
        <v>2603</v>
      </c>
      <c r="D126" s="20" t="s">
        <v>2459</v>
      </c>
    </row>
    <row r="127" spans="2:14" x14ac:dyDescent="0.2">
      <c r="B127" s="3" t="s">
        <v>2581</v>
      </c>
      <c r="C127" s="71" t="s">
        <v>2624</v>
      </c>
      <c r="D127" s="20" t="s">
        <v>2458</v>
      </c>
      <c r="N127" s="35"/>
    </row>
    <row r="128" spans="2:14" x14ac:dyDescent="0.2">
      <c r="B128" s="3" t="s">
        <v>2561</v>
      </c>
      <c r="C128" s="80" t="s">
        <v>2604</v>
      </c>
      <c r="D128" s="20" t="s">
        <v>2459</v>
      </c>
    </row>
    <row r="129" spans="2:14" x14ac:dyDescent="0.2">
      <c r="B129" s="3" t="s">
        <v>2582</v>
      </c>
      <c r="C129" s="71" t="s">
        <v>2625</v>
      </c>
      <c r="D129" s="20" t="s">
        <v>2458</v>
      </c>
      <c r="F129" s="68"/>
    </row>
    <row r="130" spans="2:14" x14ac:dyDescent="0.2">
      <c r="B130" s="3" t="s">
        <v>2562</v>
      </c>
      <c r="C130" s="80" t="s">
        <v>2605</v>
      </c>
      <c r="D130" s="20" t="s">
        <v>2459</v>
      </c>
      <c r="F130" s="68"/>
    </row>
    <row r="131" spans="2:14" x14ac:dyDescent="0.2">
      <c r="B131" s="3" t="s">
        <v>2583</v>
      </c>
      <c r="C131" s="71" t="s">
        <v>2626</v>
      </c>
      <c r="D131" s="20" t="s">
        <v>2458</v>
      </c>
      <c r="G131" s="68"/>
    </row>
    <row r="132" spans="2:14" x14ac:dyDescent="0.2">
      <c r="B132" s="3" t="s">
        <v>2563</v>
      </c>
      <c r="C132" s="80" t="s">
        <v>2606</v>
      </c>
      <c r="D132" s="20" t="s">
        <v>2459</v>
      </c>
      <c r="H132" s="68"/>
      <c r="N132" s="35"/>
    </row>
    <row r="133" spans="2:14" x14ac:dyDescent="0.2">
      <c r="B133" s="35" t="s">
        <v>1425</v>
      </c>
      <c r="C133" s="65" t="s">
        <v>2638</v>
      </c>
      <c r="D133" s="20" t="s">
        <v>2463</v>
      </c>
      <c r="N133" s="35"/>
    </row>
    <row r="134" spans="2:14" x14ac:dyDescent="0.2">
      <c r="B134" s="35" t="s">
        <v>1426</v>
      </c>
      <c r="C134" s="80" t="s">
        <v>606</v>
      </c>
      <c r="D134" s="20" t="s">
        <v>2459</v>
      </c>
      <c r="N134" s="35"/>
    </row>
    <row r="135" spans="2:14" x14ac:dyDescent="0.2">
      <c r="B135" s="35" t="s">
        <v>1427</v>
      </c>
      <c r="C135" s="80" t="s">
        <v>607</v>
      </c>
      <c r="D135" s="20" t="s">
        <v>2459</v>
      </c>
    </row>
    <row r="136" spans="2:14" x14ac:dyDescent="0.2">
      <c r="B136" s="35" t="s">
        <v>502</v>
      </c>
      <c r="C136" s="80" t="s">
        <v>301</v>
      </c>
      <c r="D136" s="20" t="s">
        <v>2459</v>
      </c>
    </row>
    <row r="137" spans="2:14" x14ac:dyDescent="0.2">
      <c r="B137" s="35" t="s">
        <v>1428</v>
      </c>
      <c r="C137" s="80" t="s">
        <v>608</v>
      </c>
      <c r="D137" s="20" t="s">
        <v>2459</v>
      </c>
    </row>
    <row r="138" spans="2:14" x14ac:dyDescent="0.2">
      <c r="B138" s="35" t="s">
        <v>503</v>
      </c>
      <c r="C138" s="80" t="s">
        <v>302</v>
      </c>
      <c r="D138" s="20" t="s">
        <v>2459</v>
      </c>
    </row>
    <row r="139" spans="2:14" x14ac:dyDescent="0.2">
      <c r="B139" s="35" t="s">
        <v>2656</v>
      </c>
      <c r="C139" s="3" t="s">
        <v>303</v>
      </c>
      <c r="D139" s="20" t="s">
        <v>175</v>
      </c>
    </row>
    <row r="140" spans="2:14" x14ac:dyDescent="0.2">
      <c r="B140" s="35" t="s">
        <v>504</v>
      </c>
      <c r="C140" s="80" t="s">
        <v>304</v>
      </c>
      <c r="D140" s="20" t="s">
        <v>2459</v>
      </c>
      <c r="G140" s="68"/>
      <c r="N140" s="35"/>
    </row>
    <row r="141" spans="2:14" x14ac:dyDescent="0.2">
      <c r="B141" s="35" t="s">
        <v>1429</v>
      </c>
      <c r="C141" s="80" t="s">
        <v>609</v>
      </c>
      <c r="D141" s="20" t="s">
        <v>2459</v>
      </c>
      <c r="N141" s="35"/>
    </row>
    <row r="142" spans="2:14" x14ac:dyDescent="0.2">
      <c r="B142" s="35" t="s">
        <v>2584</v>
      </c>
      <c r="C142" s="80" t="s">
        <v>2627</v>
      </c>
      <c r="D142" s="20" t="s">
        <v>2459</v>
      </c>
    </row>
    <row r="143" spans="2:14" x14ac:dyDescent="0.2">
      <c r="B143" s="35" t="s">
        <v>2564</v>
      </c>
      <c r="C143" s="3" t="s">
        <v>2607</v>
      </c>
      <c r="D143" s="20" t="s">
        <v>2460</v>
      </c>
    </row>
    <row r="144" spans="2:14" x14ac:dyDescent="0.2">
      <c r="B144" s="35" t="s">
        <v>1430</v>
      </c>
      <c r="C144" s="3" t="s">
        <v>22</v>
      </c>
      <c r="D144" s="20" t="s">
        <v>2460</v>
      </c>
    </row>
    <row r="145" spans="2:14" x14ac:dyDescent="0.2">
      <c r="B145" s="35" t="s">
        <v>23</v>
      </c>
      <c r="C145" s="80" t="s">
        <v>211</v>
      </c>
      <c r="D145" s="20" t="s">
        <v>2459</v>
      </c>
    </row>
    <row r="146" spans="2:14" x14ac:dyDescent="0.2">
      <c r="B146" s="35" t="s">
        <v>24</v>
      </c>
      <c r="C146" s="80" t="s">
        <v>194</v>
      </c>
      <c r="D146" s="20" t="s">
        <v>2459</v>
      </c>
    </row>
    <row r="147" spans="2:14" x14ac:dyDescent="0.2">
      <c r="B147" s="35" t="s">
        <v>505</v>
      </c>
      <c r="C147" s="71" t="s">
        <v>305</v>
      </c>
      <c r="D147" s="20" t="s">
        <v>2458</v>
      </c>
      <c r="F147" s="68"/>
    </row>
    <row r="148" spans="2:14" x14ac:dyDescent="0.2">
      <c r="B148" s="35" t="s">
        <v>506</v>
      </c>
      <c r="C148" s="3" t="s">
        <v>306</v>
      </c>
      <c r="D148" s="20" t="s">
        <v>2460</v>
      </c>
      <c r="N148" s="35"/>
    </row>
    <row r="149" spans="2:14" x14ac:dyDescent="0.2">
      <c r="B149" s="35" t="s">
        <v>507</v>
      </c>
      <c r="C149" s="3" t="s">
        <v>307</v>
      </c>
      <c r="D149" s="20" t="s">
        <v>2460</v>
      </c>
      <c r="N149" s="35"/>
    </row>
    <row r="150" spans="2:14" x14ac:dyDescent="0.2">
      <c r="B150" s="35" t="s">
        <v>25</v>
      </c>
      <c r="C150" s="3" t="s">
        <v>212</v>
      </c>
      <c r="D150" s="20" t="s">
        <v>2460</v>
      </c>
      <c r="M150" s="35"/>
      <c r="N150" s="35"/>
    </row>
    <row r="151" spans="2:14" x14ac:dyDescent="0.2">
      <c r="B151" s="35" t="s">
        <v>1431</v>
      </c>
      <c r="C151" s="3" t="s">
        <v>610</v>
      </c>
      <c r="D151" s="20" t="s">
        <v>2460</v>
      </c>
    </row>
    <row r="152" spans="2:14" x14ac:dyDescent="0.2">
      <c r="B152" s="35" t="s">
        <v>1432</v>
      </c>
      <c r="C152" s="3" t="s">
        <v>611</v>
      </c>
      <c r="D152" s="20" t="s">
        <v>2460</v>
      </c>
    </row>
    <row r="153" spans="2:14" x14ac:dyDescent="0.2">
      <c r="B153" s="35" t="s">
        <v>26</v>
      </c>
      <c r="C153" s="3" t="s">
        <v>195</v>
      </c>
      <c r="D153" s="20" t="s">
        <v>2460</v>
      </c>
    </row>
    <row r="154" spans="2:14" x14ac:dyDescent="0.2">
      <c r="B154" s="35" t="s">
        <v>508</v>
      </c>
      <c r="C154" s="3" t="s">
        <v>308</v>
      </c>
      <c r="D154" s="20" t="s">
        <v>2460</v>
      </c>
      <c r="F154" s="68"/>
      <c r="N154" s="35"/>
    </row>
    <row r="155" spans="2:14" x14ac:dyDescent="0.2">
      <c r="B155" s="35" t="s">
        <v>2657</v>
      </c>
      <c r="C155" s="3" t="s">
        <v>189</v>
      </c>
      <c r="D155" s="20" t="s">
        <v>175</v>
      </c>
      <c r="N155" s="35"/>
    </row>
    <row r="156" spans="2:14" x14ac:dyDescent="0.2">
      <c r="B156" s="35" t="s">
        <v>1433</v>
      </c>
      <c r="C156" s="71" t="s">
        <v>612</v>
      </c>
      <c r="D156" s="20" t="s">
        <v>2458</v>
      </c>
      <c r="H156" s="68"/>
      <c r="N156" s="35"/>
    </row>
    <row r="157" spans="2:14" x14ac:dyDescent="0.2">
      <c r="B157" s="35" t="s">
        <v>509</v>
      </c>
      <c r="C157" s="3" t="s">
        <v>309</v>
      </c>
      <c r="D157" s="20" t="s">
        <v>2460</v>
      </c>
      <c r="N157" s="35"/>
    </row>
    <row r="158" spans="2:14" x14ac:dyDescent="0.2">
      <c r="B158" s="35" t="s">
        <v>27</v>
      </c>
      <c r="C158" s="65" t="s">
        <v>28</v>
      </c>
      <c r="D158" s="20" t="s">
        <v>2463</v>
      </c>
      <c r="N158" s="35"/>
    </row>
    <row r="159" spans="2:14" x14ac:dyDescent="0.2">
      <c r="B159" s="35" t="s">
        <v>510</v>
      </c>
      <c r="C159" s="65" t="s">
        <v>310</v>
      </c>
      <c r="D159" s="20" t="s">
        <v>2463</v>
      </c>
      <c r="N159" s="35"/>
    </row>
    <row r="160" spans="2:14" x14ac:dyDescent="0.2">
      <c r="B160" s="35" t="s">
        <v>2658</v>
      </c>
      <c r="C160" s="65" t="s">
        <v>29</v>
      </c>
      <c r="D160" s="20" t="s">
        <v>2463</v>
      </c>
      <c r="N160" s="35"/>
    </row>
    <row r="161" spans="2:14" x14ac:dyDescent="0.2">
      <c r="B161" s="35" t="s">
        <v>2659</v>
      </c>
      <c r="C161" s="65" t="s">
        <v>2520</v>
      </c>
      <c r="D161" s="20" t="s">
        <v>2463</v>
      </c>
      <c r="H161" s="68"/>
      <c r="N161" s="35"/>
    </row>
    <row r="162" spans="2:14" x14ac:dyDescent="0.2">
      <c r="B162" s="35" t="s">
        <v>1434</v>
      </c>
      <c r="C162" s="80" t="s">
        <v>613</v>
      </c>
      <c r="D162" s="20" t="s">
        <v>2459</v>
      </c>
      <c r="H162" s="68"/>
      <c r="N162" s="35"/>
    </row>
    <row r="163" spans="2:14" x14ac:dyDescent="0.2">
      <c r="B163" s="35" t="s">
        <v>1435</v>
      </c>
      <c r="C163" s="80" t="s">
        <v>614</v>
      </c>
      <c r="D163" s="20" t="s">
        <v>2459</v>
      </c>
      <c r="H163" s="68"/>
      <c r="N163" s="35"/>
    </row>
    <row r="164" spans="2:14" x14ac:dyDescent="0.2">
      <c r="B164" s="35" t="s">
        <v>1436</v>
      </c>
      <c r="C164" s="78" t="s">
        <v>615</v>
      </c>
      <c r="D164" s="20" t="s">
        <v>2459</v>
      </c>
      <c r="G164" s="68"/>
      <c r="N164" s="35"/>
    </row>
    <row r="165" spans="2:14" x14ac:dyDescent="0.2">
      <c r="B165" s="35" t="s">
        <v>1437</v>
      </c>
      <c r="C165" s="80" t="s">
        <v>616</v>
      </c>
      <c r="D165" s="20" t="s">
        <v>2459</v>
      </c>
    </row>
    <row r="166" spans="2:14" x14ac:dyDescent="0.2">
      <c r="B166" s="35" t="s">
        <v>1438</v>
      </c>
      <c r="C166" s="65" t="s">
        <v>617</v>
      </c>
      <c r="D166" s="20" t="s">
        <v>2462</v>
      </c>
    </row>
    <row r="167" spans="2:14" x14ac:dyDescent="0.2">
      <c r="B167" s="35" t="s">
        <v>1439</v>
      </c>
      <c r="C167" s="65" t="s">
        <v>618</v>
      </c>
      <c r="D167" s="20" t="s">
        <v>2462</v>
      </c>
    </row>
    <row r="168" spans="2:14" x14ac:dyDescent="0.2">
      <c r="B168" s="35" t="s">
        <v>1440</v>
      </c>
      <c r="C168" s="80" t="s">
        <v>619</v>
      </c>
      <c r="D168" s="20" t="s">
        <v>2459</v>
      </c>
    </row>
    <row r="169" spans="2:14" x14ac:dyDescent="0.2">
      <c r="B169" s="35" t="s">
        <v>1441</v>
      </c>
      <c r="C169" s="71" t="s">
        <v>620</v>
      </c>
      <c r="D169" s="20" t="s">
        <v>2458</v>
      </c>
      <c r="G169" s="68"/>
      <c r="N169" s="35"/>
    </row>
    <row r="170" spans="2:14" x14ac:dyDescent="0.2">
      <c r="B170" s="35" t="s">
        <v>511</v>
      </c>
      <c r="C170" s="71" t="s">
        <v>311</v>
      </c>
      <c r="D170" s="20" t="s">
        <v>2458</v>
      </c>
      <c r="G170" s="68"/>
    </row>
    <row r="171" spans="2:14" x14ac:dyDescent="0.2">
      <c r="B171" s="35" t="s">
        <v>512</v>
      </c>
      <c r="C171" s="3" t="s">
        <v>312</v>
      </c>
      <c r="D171" s="20" t="s">
        <v>2460</v>
      </c>
    </row>
    <row r="172" spans="2:14" x14ac:dyDescent="0.2">
      <c r="B172" s="35" t="s">
        <v>1442</v>
      </c>
      <c r="C172" s="71" t="s">
        <v>621</v>
      </c>
      <c r="D172" s="20" t="s">
        <v>2458</v>
      </c>
      <c r="N172" s="35"/>
    </row>
    <row r="173" spans="2:14" x14ac:dyDescent="0.2">
      <c r="B173" s="35" t="s">
        <v>2660</v>
      </c>
      <c r="C173" s="3" t="s">
        <v>622</v>
      </c>
      <c r="D173" s="20" t="s">
        <v>175</v>
      </c>
    </row>
    <row r="174" spans="2:14" x14ac:dyDescent="0.2">
      <c r="B174" s="35" t="s">
        <v>1443</v>
      </c>
      <c r="C174" s="71" t="s">
        <v>623</v>
      </c>
      <c r="D174" s="20" t="s">
        <v>2458</v>
      </c>
    </row>
    <row r="175" spans="2:14" x14ac:dyDescent="0.2">
      <c r="B175" s="35" t="s">
        <v>1444</v>
      </c>
      <c r="C175" s="71" t="s">
        <v>624</v>
      </c>
      <c r="D175" s="20" t="s">
        <v>2458</v>
      </c>
    </row>
    <row r="176" spans="2:14" x14ac:dyDescent="0.2">
      <c r="B176" s="35" t="s">
        <v>2661</v>
      </c>
      <c r="C176" s="71" t="s">
        <v>625</v>
      </c>
      <c r="D176" s="20" t="s">
        <v>2458</v>
      </c>
      <c r="N176" s="35"/>
    </row>
    <row r="177" spans="2:14" x14ac:dyDescent="0.2">
      <c r="B177" s="35" t="s">
        <v>1445</v>
      </c>
      <c r="C177" s="80" t="s">
        <v>626</v>
      </c>
      <c r="D177" s="20" t="s">
        <v>2459</v>
      </c>
      <c r="N177" s="35"/>
    </row>
    <row r="178" spans="2:14" x14ac:dyDescent="0.2">
      <c r="B178" s="35" t="s">
        <v>1446</v>
      </c>
      <c r="C178" s="3" t="s">
        <v>627</v>
      </c>
      <c r="D178" s="20" t="s">
        <v>2460</v>
      </c>
      <c r="N178" s="35"/>
    </row>
    <row r="179" spans="2:14" x14ac:dyDescent="0.2">
      <c r="B179" s="35" t="s">
        <v>513</v>
      </c>
      <c r="C179" s="3" t="s">
        <v>313</v>
      </c>
      <c r="D179" s="20" t="s">
        <v>2460</v>
      </c>
      <c r="N179" s="35"/>
    </row>
    <row r="180" spans="2:14" x14ac:dyDescent="0.2">
      <c r="B180" s="35" t="s">
        <v>1447</v>
      </c>
      <c r="C180" s="3" t="s">
        <v>628</v>
      </c>
      <c r="D180" s="20" t="s">
        <v>2460</v>
      </c>
      <c r="N180" s="35"/>
    </row>
    <row r="181" spans="2:14" x14ac:dyDescent="0.2">
      <c r="B181" s="35" t="s">
        <v>185</v>
      </c>
      <c r="C181" s="3" t="s">
        <v>314</v>
      </c>
      <c r="D181" s="20" t="s">
        <v>2460</v>
      </c>
    </row>
    <row r="182" spans="2:14" x14ac:dyDescent="0.2">
      <c r="B182" s="35" t="s">
        <v>2662</v>
      </c>
      <c r="C182" s="3" t="s">
        <v>629</v>
      </c>
      <c r="D182" s="20" t="s">
        <v>175</v>
      </c>
      <c r="N182" s="35"/>
    </row>
    <row r="183" spans="2:14" x14ac:dyDescent="0.2">
      <c r="B183" s="35" t="s">
        <v>514</v>
      </c>
      <c r="C183" s="80" t="s">
        <v>315</v>
      </c>
      <c r="D183" s="20" t="s">
        <v>2459</v>
      </c>
      <c r="N183" s="35"/>
    </row>
    <row r="184" spans="2:14" x14ac:dyDescent="0.2">
      <c r="B184" s="35" t="s">
        <v>1448</v>
      </c>
      <c r="C184" s="3" t="s">
        <v>630</v>
      </c>
      <c r="D184" s="20" t="s">
        <v>2460</v>
      </c>
      <c r="N184" s="35"/>
    </row>
    <row r="185" spans="2:14" x14ac:dyDescent="0.2">
      <c r="B185" s="35" t="s">
        <v>1449</v>
      </c>
      <c r="C185" s="76" t="s">
        <v>631</v>
      </c>
      <c r="D185" s="20" t="s">
        <v>2463</v>
      </c>
      <c r="F185" s="68"/>
      <c r="H185" s="68"/>
      <c r="N185" s="35"/>
    </row>
    <row r="186" spans="2:14" x14ac:dyDescent="0.2">
      <c r="B186" s="35" t="s">
        <v>1450</v>
      </c>
      <c r="C186" s="71" t="s">
        <v>316</v>
      </c>
      <c r="D186" s="20" t="s">
        <v>2458</v>
      </c>
      <c r="F186" s="68"/>
      <c r="N186" s="35"/>
    </row>
    <row r="187" spans="2:14" x14ac:dyDescent="0.2">
      <c r="B187" s="35" t="s">
        <v>516</v>
      </c>
      <c r="C187" s="71" t="s">
        <v>317</v>
      </c>
      <c r="D187" s="20" t="s">
        <v>2458</v>
      </c>
      <c r="F187" s="68"/>
      <c r="N187" s="35"/>
    </row>
    <row r="188" spans="2:14" x14ac:dyDescent="0.2">
      <c r="B188" s="35" t="s">
        <v>515</v>
      </c>
      <c r="C188" s="71" t="s">
        <v>318</v>
      </c>
      <c r="D188" s="20" t="s">
        <v>2458</v>
      </c>
      <c r="N188" s="35"/>
    </row>
    <row r="189" spans="2:14" x14ac:dyDescent="0.2">
      <c r="B189" s="35" t="s">
        <v>226</v>
      </c>
      <c r="C189" s="71" t="s">
        <v>227</v>
      </c>
      <c r="D189" s="20" t="s">
        <v>2458</v>
      </c>
    </row>
    <row r="190" spans="2:14" x14ac:dyDescent="0.2">
      <c r="B190" s="35" t="s">
        <v>1451</v>
      </c>
      <c r="C190" s="71" t="s">
        <v>632</v>
      </c>
      <c r="D190" s="20" t="s">
        <v>2458</v>
      </c>
      <c r="N190" s="35"/>
    </row>
    <row r="191" spans="2:14" x14ac:dyDescent="0.2">
      <c r="B191" s="35" t="s">
        <v>1452</v>
      </c>
      <c r="C191" s="71" t="s">
        <v>633</v>
      </c>
      <c r="D191" s="20" t="s">
        <v>2458</v>
      </c>
      <c r="N191" s="35"/>
    </row>
    <row r="192" spans="2:14" x14ac:dyDescent="0.2">
      <c r="B192" s="35" t="s">
        <v>1453</v>
      </c>
      <c r="C192" s="71" t="s">
        <v>634</v>
      </c>
      <c r="D192" s="20" t="s">
        <v>2458</v>
      </c>
      <c r="N192" s="35"/>
    </row>
    <row r="193" spans="2:14" x14ac:dyDescent="0.2">
      <c r="B193" s="35" t="s">
        <v>1454</v>
      </c>
      <c r="C193" s="71" t="s">
        <v>635</v>
      </c>
      <c r="D193" s="20" t="s">
        <v>2458</v>
      </c>
      <c r="G193" s="68"/>
      <c r="N193" s="35"/>
    </row>
    <row r="194" spans="2:14" x14ac:dyDescent="0.2">
      <c r="B194" s="35" t="s">
        <v>1455</v>
      </c>
      <c r="C194" s="71" t="s">
        <v>636</v>
      </c>
      <c r="D194" s="20" t="s">
        <v>2458</v>
      </c>
    </row>
    <row r="195" spans="2:14" x14ac:dyDescent="0.2">
      <c r="B195" s="35" t="s">
        <v>1456</v>
      </c>
      <c r="C195" s="80" t="s">
        <v>637</v>
      </c>
      <c r="D195" s="20" t="s">
        <v>2459</v>
      </c>
      <c r="N195" s="35"/>
    </row>
    <row r="196" spans="2:14" x14ac:dyDescent="0.2">
      <c r="B196" s="35" t="s">
        <v>1457</v>
      </c>
      <c r="C196" s="71" t="s">
        <v>638</v>
      </c>
      <c r="D196" s="20" t="s">
        <v>2458</v>
      </c>
      <c r="N196" s="35"/>
    </row>
    <row r="197" spans="2:14" x14ac:dyDescent="0.2">
      <c r="B197" s="35" t="s">
        <v>1458</v>
      </c>
      <c r="C197" s="71" t="s">
        <v>639</v>
      </c>
      <c r="D197" s="20" t="s">
        <v>2458</v>
      </c>
    </row>
    <row r="198" spans="2:14" x14ac:dyDescent="0.2">
      <c r="B198" s="35" t="s">
        <v>2663</v>
      </c>
      <c r="C198" s="3" t="s">
        <v>319</v>
      </c>
      <c r="D198" s="20" t="s">
        <v>175</v>
      </c>
      <c r="H198" s="68"/>
    </row>
    <row r="199" spans="2:14" x14ac:dyDescent="0.2">
      <c r="B199" s="35" t="s">
        <v>1459</v>
      </c>
      <c r="C199" s="71" t="s">
        <v>640</v>
      </c>
      <c r="D199" s="20" t="s">
        <v>2458</v>
      </c>
      <c r="N199" s="35"/>
    </row>
    <row r="200" spans="2:14" x14ac:dyDescent="0.2">
      <c r="B200" s="35" t="s">
        <v>1460</v>
      </c>
      <c r="C200" s="71" t="s">
        <v>641</v>
      </c>
      <c r="D200" s="20" t="s">
        <v>2458</v>
      </c>
      <c r="N200" s="35"/>
    </row>
    <row r="201" spans="2:14" x14ac:dyDescent="0.2">
      <c r="B201" s="35" t="s">
        <v>1461</v>
      </c>
      <c r="C201" s="71" t="s">
        <v>642</v>
      </c>
      <c r="D201" s="20" t="s">
        <v>2458</v>
      </c>
      <c r="N201" s="35"/>
    </row>
    <row r="202" spans="2:14" x14ac:dyDescent="0.2">
      <c r="B202" s="35" t="s">
        <v>1462</v>
      </c>
      <c r="C202" s="68" t="s">
        <v>643</v>
      </c>
      <c r="D202" s="20" t="s">
        <v>2463</v>
      </c>
      <c r="N202" s="35"/>
    </row>
    <row r="203" spans="2:14" x14ac:dyDescent="0.2">
      <c r="B203" s="35" t="s">
        <v>1463</v>
      </c>
      <c r="C203" s="80" t="s">
        <v>644</v>
      </c>
      <c r="D203" s="20" t="s">
        <v>2459</v>
      </c>
    </row>
    <row r="204" spans="2:14" x14ac:dyDescent="0.2">
      <c r="B204" s="35" t="s">
        <v>30</v>
      </c>
      <c r="C204" s="65" t="s">
        <v>31</v>
      </c>
      <c r="D204" s="20" t="s">
        <v>2463</v>
      </c>
      <c r="N204" s="35"/>
    </row>
    <row r="205" spans="2:14" x14ac:dyDescent="0.2">
      <c r="B205" s="35" t="s">
        <v>32</v>
      </c>
      <c r="C205" s="65" t="s">
        <v>33</v>
      </c>
      <c r="D205" s="20" t="s">
        <v>2463</v>
      </c>
      <c r="N205" s="35"/>
    </row>
    <row r="206" spans="2:14" x14ac:dyDescent="0.2">
      <c r="B206" s="35" t="s">
        <v>2664</v>
      </c>
      <c r="C206" s="65" t="s">
        <v>34</v>
      </c>
      <c r="D206" s="20" t="s">
        <v>2463</v>
      </c>
      <c r="N206" s="35"/>
    </row>
    <row r="207" spans="2:14" x14ac:dyDescent="0.2">
      <c r="B207" s="35" t="s">
        <v>1464</v>
      </c>
      <c r="C207" s="75" t="s">
        <v>645</v>
      </c>
      <c r="D207" s="20" t="s">
        <v>2463</v>
      </c>
    </row>
    <row r="208" spans="2:14" x14ac:dyDescent="0.2">
      <c r="B208" s="35" t="s">
        <v>1465</v>
      </c>
      <c r="C208" s="75" t="s">
        <v>646</v>
      </c>
      <c r="D208" s="20" t="s">
        <v>2463</v>
      </c>
      <c r="N208" s="35"/>
    </row>
    <row r="209" spans="2:14" x14ac:dyDescent="0.2">
      <c r="B209" s="35" t="s">
        <v>1466</v>
      </c>
      <c r="C209" s="75" t="s">
        <v>35</v>
      </c>
      <c r="D209" s="20" t="s">
        <v>2462</v>
      </c>
      <c r="N209" s="35"/>
    </row>
    <row r="210" spans="2:14" x14ac:dyDescent="0.2">
      <c r="B210" s="35" t="s">
        <v>36</v>
      </c>
      <c r="C210" s="75" t="s">
        <v>37</v>
      </c>
      <c r="D210" s="20" t="s">
        <v>2463</v>
      </c>
      <c r="N210" s="35"/>
    </row>
    <row r="211" spans="2:14" x14ac:dyDescent="0.2">
      <c r="B211" s="35" t="s">
        <v>1467</v>
      </c>
      <c r="C211" s="75" t="s">
        <v>647</v>
      </c>
      <c r="D211" s="20" t="s">
        <v>2463</v>
      </c>
      <c r="N211" s="35"/>
    </row>
    <row r="212" spans="2:14" x14ac:dyDescent="0.2">
      <c r="B212" s="35" t="s">
        <v>38</v>
      </c>
      <c r="C212" s="75" t="s">
        <v>39</v>
      </c>
      <c r="D212" s="20" t="s">
        <v>2463</v>
      </c>
    </row>
    <row r="213" spans="2:14" x14ac:dyDescent="0.2">
      <c r="B213" s="35" t="s">
        <v>2665</v>
      </c>
      <c r="C213" s="65" t="s">
        <v>40</v>
      </c>
      <c r="D213" s="20" t="s">
        <v>2463</v>
      </c>
      <c r="N213" s="35"/>
    </row>
    <row r="214" spans="2:14" x14ac:dyDescent="0.2">
      <c r="B214" s="35" t="s">
        <v>2421</v>
      </c>
      <c r="C214" s="71" t="s">
        <v>648</v>
      </c>
      <c r="D214" s="20" t="s">
        <v>2458</v>
      </c>
      <c r="N214" s="35"/>
    </row>
    <row r="215" spans="2:14" x14ac:dyDescent="0.2">
      <c r="B215" s="35" t="s">
        <v>2422</v>
      </c>
      <c r="C215" s="71" t="s">
        <v>649</v>
      </c>
      <c r="D215" s="20" t="s">
        <v>2458</v>
      </c>
    </row>
    <row r="216" spans="2:14" x14ac:dyDescent="0.2">
      <c r="B216" s="35" t="s">
        <v>1468</v>
      </c>
      <c r="C216" s="71" t="s">
        <v>650</v>
      </c>
      <c r="D216" s="20" t="s">
        <v>2458</v>
      </c>
      <c r="N216" s="35"/>
    </row>
    <row r="217" spans="2:14" x14ac:dyDescent="0.2">
      <c r="B217" s="35" t="s">
        <v>41</v>
      </c>
      <c r="C217" s="71" t="s">
        <v>140</v>
      </c>
      <c r="D217" s="20" t="s">
        <v>2458</v>
      </c>
      <c r="N217" s="35"/>
    </row>
    <row r="218" spans="2:14" x14ac:dyDescent="0.2">
      <c r="B218" s="35" t="s">
        <v>1469</v>
      </c>
      <c r="C218" s="71" t="s">
        <v>651</v>
      </c>
      <c r="D218" s="20" t="s">
        <v>2458</v>
      </c>
      <c r="N218" s="35"/>
    </row>
    <row r="219" spans="2:14" x14ac:dyDescent="0.2">
      <c r="B219" s="35" t="s">
        <v>517</v>
      </c>
      <c r="C219" s="71" t="s">
        <v>320</v>
      </c>
      <c r="D219" s="20" t="s">
        <v>2458</v>
      </c>
      <c r="N219" s="35"/>
    </row>
    <row r="220" spans="2:14" x14ac:dyDescent="0.2">
      <c r="B220" s="35" t="s">
        <v>2666</v>
      </c>
      <c r="C220" s="71" t="s">
        <v>42</v>
      </c>
      <c r="D220" s="20" t="s">
        <v>2458</v>
      </c>
    </row>
    <row r="221" spans="2:14" x14ac:dyDescent="0.2">
      <c r="B221" s="35" t="s">
        <v>224</v>
      </c>
      <c r="C221" s="3" t="s">
        <v>225</v>
      </c>
      <c r="D221" s="20" t="s">
        <v>2460</v>
      </c>
      <c r="N221" s="35"/>
    </row>
    <row r="222" spans="2:14" x14ac:dyDescent="0.2">
      <c r="B222" s="35" t="s">
        <v>1470</v>
      </c>
      <c r="C222" s="71" t="s">
        <v>652</v>
      </c>
      <c r="D222" s="20" t="s">
        <v>2458</v>
      </c>
      <c r="N222" s="35"/>
    </row>
    <row r="223" spans="2:14" x14ac:dyDescent="0.2">
      <c r="B223" s="35" t="s">
        <v>1471</v>
      </c>
      <c r="C223" s="71" t="s">
        <v>653</v>
      </c>
      <c r="D223" s="20" t="s">
        <v>2458</v>
      </c>
    </row>
    <row r="224" spans="2:14" x14ac:dyDescent="0.2">
      <c r="B224" s="35" t="s">
        <v>2667</v>
      </c>
      <c r="C224" s="71" t="s">
        <v>654</v>
      </c>
      <c r="D224" s="20" t="s">
        <v>2458</v>
      </c>
      <c r="N224" s="35"/>
    </row>
    <row r="225" spans="2:14" x14ac:dyDescent="0.2">
      <c r="B225" s="35" t="s">
        <v>2668</v>
      </c>
      <c r="C225" s="71" t="s">
        <v>655</v>
      </c>
      <c r="D225" s="20" t="s">
        <v>2458</v>
      </c>
      <c r="N225" s="35"/>
    </row>
    <row r="226" spans="2:14" x14ac:dyDescent="0.2">
      <c r="B226" s="35" t="s">
        <v>1472</v>
      </c>
      <c r="C226" s="71" t="s">
        <v>656</v>
      </c>
      <c r="D226" s="20" t="s">
        <v>2458</v>
      </c>
    </row>
    <row r="227" spans="2:14" x14ac:dyDescent="0.2">
      <c r="B227" s="35" t="s">
        <v>518</v>
      </c>
      <c r="C227" s="71" t="s">
        <v>321</v>
      </c>
      <c r="D227" s="20" t="s">
        <v>2458</v>
      </c>
      <c r="N227" s="35"/>
    </row>
    <row r="228" spans="2:14" x14ac:dyDescent="0.2">
      <c r="B228" s="35" t="s">
        <v>1473</v>
      </c>
      <c r="C228" s="80" t="s">
        <v>657</v>
      </c>
      <c r="D228" s="20" t="s">
        <v>2459</v>
      </c>
      <c r="N228" s="35"/>
    </row>
    <row r="229" spans="2:14" x14ac:dyDescent="0.2">
      <c r="B229" s="35" t="s">
        <v>1474</v>
      </c>
      <c r="C229" s="3" t="s">
        <v>658</v>
      </c>
      <c r="D229" s="20" t="s">
        <v>2460</v>
      </c>
      <c r="N229" s="35"/>
    </row>
    <row r="230" spans="2:14" x14ac:dyDescent="0.2">
      <c r="B230" s="35" t="s">
        <v>519</v>
      </c>
      <c r="C230" s="3" t="s">
        <v>322</v>
      </c>
      <c r="D230" s="20" t="s">
        <v>2460</v>
      </c>
      <c r="N230" s="35"/>
    </row>
    <row r="231" spans="2:14" x14ac:dyDescent="0.2">
      <c r="B231" s="35" t="s">
        <v>520</v>
      </c>
      <c r="C231" s="71" t="s">
        <v>323</v>
      </c>
      <c r="D231" s="20" t="s">
        <v>2458</v>
      </c>
    </row>
    <row r="232" spans="2:14" x14ac:dyDescent="0.2">
      <c r="B232" s="35" t="s">
        <v>1475</v>
      </c>
      <c r="C232" s="71" t="s">
        <v>659</v>
      </c>
      <c r="D232" s="20" t="s">
        <v>2458</v>
      </c>
      <c r="N232" s="35"/>
    </row>
    <row r="233" spans="2:14" x14ac:dyDescent="0.2">
      <c r="B233" s="35" t="s">
        <v>1476</v>
      </c>
      <c r="C233" s="71" t="s">
        <v>324</v>
      </c>
      <c r="D233" s="20" t="s">
        <v>2458</v>
      </c>
      <c r="N233" s="35"/>
    </row>
    <row r="234" spans="2:14" x14ac:dyDescent="0.2">
      <c r="B234" s="35" t="s">
        <v>1477</v>
      </c>
      <c r="C234" s="3" t="s">
        <v>325</v>
      </c>
      <c r="D234" s="20" t="s">
        <v>2460</v>
      </c>
      <c r="N234" s="35"/>
    </row>
    <row r="235" spans="2:14" x14ac:dyDescent="0.2">
      <c r="B235" s="35" t="s">
        <v>1478</v>
      </c>
      <c r="C235" s="71" t="s">
        <v>660</v>
      </c>
      <c r="D235" s="20" t="s">
        <v>2458</v>
      </c>
      <c r="N235" s="35"/>
    </row>
    <row r="236" spans="2:14" x14ac:dyDescent="0.2">
      <c r="B236" s="35" t="s">
        <v>521</v>
      </c>
      <c r="C236" s="3" t="s">
        <v>326</v>
      </c>
      <c r="D236" s="20" t="s">
        <v>2460</v>
      </c>
      <c r="N236" s="35"/>
    </row>
    <row r="237" spans="2:14" x14ac:dyDescent="0.2">
      <c r="B237" s="35" t="s">
        <v>43</v>
      </c>
      <c r="C237" s="3" t="s">
        <v>141</v>
      </c>
      <c r="D237" s="20" t="s">
        <v>2460</v>
      </c>
      <c r="N237" s="35"/>
    </row>
    <row r="238" spans="2:14" x14ac:dyDescent="0.2">
      <c r="B238" s="35" t="s">
        <v>1479</v>
      </c>
      <c r="C238" s="71" t="s">
        <v>661</v>
      </c>
      <c r="D238" s="20" t="s">
        <v>2458</v>
      </c>
      <c r="N238" s="35"/>
    </row>
    <row r="239" spans="2:14" x14ac:dyDescent="0.2">
      <c r="B239" s="35" t="s">
        <v>44</v>
      </c>
      <c r="C239" s="71" t="s">
        <v>45</v>
      </c>
      <c r="D239" s="20" t="s">
        <v>2458</v>
      </c>
      <c r="N239" s="35"/>
    </row>
    <row r="240" spans="2:14" x14ac:dyDescent="0.2">
      <c r="B240" s="35" t="s">
        <v>2669</v>
      </c>
      <c r="C240" s="3" t="s">
        <v>327</v>
      </c>
      <c r="D240" s="20" t="s">
        <v>175</v>
      </c>
    </row>
    <row r="241" spans="2:14" x14ac:dyDescent="0.2">
      <c r="B241" s="35" t="s">
        <v>1480</v>
      </c>
      <c r="C241" s="3" t="s">
        <v>662</v>
      </c>
      <c r="D241" s="20" t="s">
        <v>2460</v>
      </c>
      <c r="N241" s="35"/>
    </row>
    <row r="242" spans="2:14" x14ac:dyDescent="0.2">
      <c r="B242" s="35" t="s">
        <v>1481</v>
      </c>
      <c r="C242" s="78" t="s">
        <v>663</v>
      </c>
      <c r="D242" s="20" t="s">
        <v>2459</v>
      </c>
      <c r="N242" s="35"/>
    </row>
    <row r="243" spans="2:14" x14ac:dyDescent="0.2">
      <c r="B243" s="35" t="s">
        <v>522</v>
      </c>
      <c r="C243" s="75" t="s">
        <v>328</v>
      </c>
      <c r="D243" s="20" t="s">
        <v>2463</v>
      </c>
      <c r="N243" s="35"/>
    </row>
    <row r="244" spans="2:14" x14ac:dyDescent="0.2">
      <c r="B244" s="35" t="s">
        <v>1482</v>
      </c>
      <c r="C244" s="70" t="s">
        <v>664</v>
      </c>
      <c r="D244" s="20" t="s">
        <v>2458</v>
      </c>
      <c r="N244" s="35"/>
    </row>
    <row r="245" spans="2:14" x14ac:dyDescent="0.2">
      <c r="B245" s="35" t="s">
        <v>257</v>
      </c>
      <c r="C245" s="75" t="s">
        <v>258</v>
      </c>
      <c r="D245" s="20" t="s">
        <v>2462</v>
      </c>
      <c r="N245" s="35"/>
    </row>
    <row r="246" spans="2:14" x14ac:dyDescent="0.2">
      <c r="B246" s="35" t="s">
        <v>1483</v>
      </c>
      <c r="C246" s="75" t="s">
        <v>665</v>
      </c>
      <c r="D246" s="20" t="s">
        <v>2462</v>
      </c>
      <c r="E246" s="68"/>
      <c r="N246" s="35"/>
    </row>
    <row r="247" spans="2:14" x14ac:dyDescent="0.2">
      <c r="B247" s="35" t="s">
        <v>46</v>
      </c>
      <c r="C247" s="3" t="s">
        <v>196</v>
      </c>
      <c r="D247" s="20" t="s">
        <v>2460</v>
      </c>
      <c r="N247" s="35"/>
    </row>
    <row r="248" spans="2:14" x14ac:dyDescent="0.2">
      <c r="B248" s="35" t="s">
        <v>1484</v>
      </c>
      <c r="C248" s="71" t="s">
        <v>666</v>
      </c>
      <c r="D248" s="20" t="s">
        <v>2458</v>
      </c>
      <c r="N248" s="35"/>
    </row>
    <row r="249" spans="2:14" x14ac:dyDescent="0.2">
      <c r="B249" s="35" t="s">
        <v>1485</v>
      </c>
      <c r="C249" s="3" t="s">
        <v>667</v>
      </c>
      <c r="D249" s="20" t="s">
        <v>2460</v>
      </c>
    </row>
    <row r="250" spans="2:14" x14ac:dyDescent="0.2">
      <c r="B250" s="35" t="s">
        <v>1486</v>
      </c>
      <c r="C250" s="3" t="s">
        <v>668</v>
      </c>
      <c r="D250" s="20" t="s">
        <v>2460</v>
      </c>
    </row>
    <row r="251" spans="2:14" x14ac:dyDescent="0.2">
      <c r="B251" s="35" t="s">
        <v>1487</v>
      </c>
      <c r="C251" s="3" t="s">
        <v>669</v>
      </c>
      <c r="D251" s="20" t="s">
        <v>2460</v>
      </c>
    </row>
    <row r="252" spans="2:14" x14ac:dyDescent="0.2">
      <c r="B252" s="35" t="s">
        <v>47</v>
      </c>
      <c r="C252" s="3" t="s">
        <v>186</v>
      </c>
      <c r="D252" s="20" t="s">
        <v>2460</v>
      </c>
    </row>
    <row r="253" spans="2:14" x14ac:dyDescent="0.2">
      <c r="B253" s="35" t="s">
        <v>2670</v>
      </c>
      <c r="C253" s="3" t="s">
        <v>670</v>
      </c>
      <c r="D253" s="20" t="s">
        <v>175</v>
      </c>
    </row>
    <row r="254" spans="2:14" x14ac:dyDescent="0.2">
      <c r="B254" s="35" t="s">
        <v>1488</v>
      </c>
      <c r="C254" s="80" t="s">
        <v>671</v>
      </c>
      <c r="D254" s="20" t="s">
        <v>2459</v>
      </c>
    </row>
    <row r="255" spans="2:14" x14ac:dyDescent="0.2">
      <c r="B255" s="35" t="s">
        <v>523</v>
      </c>
      <c r="C255" s="75" t="s">
        <v>329</v>
      </c>
      <c r="D255" s="20" t="s">
        <v>2462</v>
      </c>
    </row>
    <row r="256" spans="2:14" x14ac:dyDescent="0.2">
      <c r="B256" s="35" t="s">
        <v>1489</v>
      </c>
      <c r="C256" s="65" t="s">
        <v>672</v>
      </c>
      <c r="D256" s="20" t="s">
        <v>2462</v>
      </c>
    </row>
    <row r="257" spans="2:4" x14ac:dyDescent="0.2">
      <c r="B257" s="35" t="s">
        <v>1490</v>
      </c>
      <c r="C257" s="3" t="s">
        <v>673</v>
      </c>
      <c r="D257" s="20" t="s">
        <v>2460</v>
      </c>
    </row>
    <row r="258" spans="2:4" x14ac:dyDescent="0.2">
      <c r="B258" s="35" t="s">
        <v>1491</v>
      </c>
      <c r="C258" s="3" t="s">
        <v>674</v>
      </c>
      <c r="D258" s="20" t="s">
        <v>2460</v>
      </c>
    </row>
    <row r="259" spans="2:4" x14ac:dyDescent="0.2">
      <c r="B259" s="35" t="s">
        <v>1492</v>
      </c>
      <c r="C259" s="3" t="s">
        <v>675</v>
      </c>
      <c r="D259" s="20" t="s">
        <v>2460</v>
      </c>
    </row>
    <row r="260" spans="2:4" x14ac:dyDescent="0.2">
      <c r="B260" s="35" t="s">
        <v>1493</v>
      </c>
      <c r="C260" s="3" t="s">
        <v>676</v>
      </c>
      <c r="D260" s="20" t="s">
        <v>2460</v>
      </c>
    </row>
    <row r="261" spans="2:4" x14ac:dyDescent="0.2">
      <c r="B261" s="35" t="s">
        <v>1494</v>
      </c>
      <c r="C261" s="3" t="s">
        <v>677</v>
      </c>
      <c r="D261" s="20" t="s">
        <v>2460</v>
      </c>
    </row>
    <row r="262" spans="2:4" x14ac:dyDescent="0.2">
      <c r="B262" s="35" t="s">
        <v>2420</v>
      </c>
      <c r="C262" s="3" t="s">
        <v>678</v>
      </c>
      <c r="D262" s="20" t="s">
        <v>2460</v>
      </c>
    </row>
    <row r="263" spans="2:4" x14ac:dyDescent="0.2">
      <c r="B263" s="35" t="s">
        <v>1495</v>
      </c>
      <c r="C263" s="3" t="s">
        <v>679</v>
      </c>
      <c r="D263" s="20" t="s">
        <v>2460</v>
      </c>
    </row>
    <row r="264" spans="2:4" x14ac:dyDescent="0.2">
      <c r="B264" s="35" t="s">
        <v>1497</v>
      </c>
      <c r="C264" s="3" t="s">
        <v>680</v>
      </c>
      <c r="D264" s="20" t="s">
        <v>2460</v>
      </c>
    </row>
    <row r="265" spans="2:4" x14ac:dyDescent="0.2">
      <c r="B265" s="35" t="s">
        <v>1496</v>
      </c>
      <c r="C265" s="3" t="s">
        <v>681</v>
      </c>
      <c r="D265" s="20" t="s">
        <v>2460</v>
      </c>
    </row>
    <row r="266" spans="2:4" x14ac:dyDescent="0.2">
      <c r="B266" s="35" t="s">
        <v>2419</v>
      </c>
      <c r="C266" s="3" t="s">
        <v>682</v>
      </c>
      <c r="D266" s="20" t="s">
        <v>2460</v>
      </c>
    </row>
    <row r="267" spans="2:4" x14ac:dyDescent="0.2">
      <c r="B267" s="35" t="s">
        <v>1498</v>
      </c>
      <c r="C267" s="3" t="s">
        <v>683</v>
      </c>
      <c r="D267" s="20" t="s">
        <v>2460</v>
      </c>
    </row>
    <row r="268" spans="2:4" x14ac:dyDescent="0.2">
      <c r="B268" s="35" t="s">
        <v>1499</v>
      </c>
      <c r="C268" s="3" t="s">
        <v>684</v>
      </c>
      <c r="D268" s="20" t="s">
        <v>2460</v>
      </c>
    </row>
    <row r="269" spans="2:4" x14ac:dyDescent="0.2">
      <c r="B269" s="35" t="s">
        <v>1500</v>
      </c>
      <c r="C269" s="65" t="s">
        <v>685</v>
      </c>
      <c r="D269" s="20" t="s">
        <v>2461</v>
      </c>
    </row>
    <row r="270" spans="2:4" x14ac:dyDescent="0.2">
      <c r="B270" s="35" t="s">
        <v>1501</v>
      </c>
      <c r="C270" s="65" t="s">
        <v>686</v>
      </c>
      <c r="D270" s="20" t="s">
        <v>2461</v>
      </c>
    </row>
    <row r="271" spans="2:4" x14ac:dyDescent="0.2">
      <c r="B271" s="35" t="s">
        <v>524</v>
      </c>
      <c r="C271" s="75" t="s">
        <v>330</v>
      </c>
      <c r="D271" s="20" t="s">
        <v>2462</v>
      </c>
    </row>
    <row r="272" spans="2:4" x14ac:dyDescent="0.2">
      <c r="B272" s="35" t="s">
        <v>524</v>
      </c>
      <c r="C272" s="75" t="s">
        <v>687</v>
      </c>
      <c r="D272" s="20" t="s">
        <v>2462</v>
      </c>
    </row>
    <row r="273" spans="2:4" x14ac:dyDescent="0.2">
      <c r="B273" s="35" t="s">
        <v>1502</v>
      </c>
      <c r="C273" s="65" t="s">
        <v>48</v>
      </c>
      <c r="D273" s="20" t="s">
        <v>2463</v>
      </c>
    </row>
    <row r="274" spans="2:4" x14ac:dyDescent="0.2">
      <c r="B274" s="35" t="s">
        <v>1503</v>
      </c>
      <c r="C274" s="65" t="s">
        <v>688</v>
      </c>
      <c r="D274" s="20" t="s">
        <v>2463</v>
      </c>
    </row>
    <row r="275" spans="2:4" x14ac:dyDescent="0.2">
      <c r="B275" s="35" t="s">
        <v>1504</v>
      </c>
      <c r="C275" s="80" t="s">
        <v>689</v>
      </c>
      <c r="D275" s="20" t="s">
        <v>2459</v>
      </c>
    </row>
    <row r="276" spans="2:4" x14ac:dyDescent="0.2">
      <c r="B276" s="35" t="s">
        <v>1505</v>
      </c>
      <c r="C276" s="80" t="s">
        <v>690</v>
      </c>
      <c r="D276" s="20" t="s">
        <v>2459</v>
      </c>
    </row>
    <row r="277" spans="2:4" x14ac:dyDescent="0.2">
      <c r="B277" s="35" t="s">
        <v>49</v>
      </c>
      <c r="C277" s="3" t="s">
        <v>50</v>
      </c>
      <c r="D277" s="20" t="s">
        <v>2460</v>
      </c>
    </row>
    <row r="278" spans="2:4" x14ac:dyDescent="0.2">
      <c r="B278" s="35" t="s">
        <v>51</v>
      </c>
      <c r="C278" s="3" t="s">
        <v>142</v>
      </c>
      <c r="D278" s="20" t="s">
        <v>2460</v>
      </c>
    </row>
    <row r="279" spans="2:4" x14ac:dyDescent="0.2">
      <c r="B279" s="35" t="s">
        <v>1506</v>
      </c>
      <c r="C279" s="3" t="s">
        <v>691</v>
      </c>
      <c r="D279" s="20" t="s">
        <v>2460</v>
      </c>
    </row>
    <row r="280" spans="2:4" x14ac:dyDescent="0.2">
      <c r="B280" s="35" t="s">
        <v>1507</v>
      </c>
      <c r="C280" s="3" t="s">
        <v>692</v>
      </c>
      <c r="D280" s="20" t="s">
        <v>2460</v>
      </c>
    </row>
    <row r="281" spans="2:4" x14ac:dyDescent="0.2">
      <c r="B281" s="35" t="s">
        <v>1508</v>
      </c>
      <c r="C281" s="80" t="s">
        <v>693</v>
      </c>
      <c r="D281" s="20" t="s">
        <v>2459</v>
      </c>
    </row>
    <row r="282" spans="2:4" x14ac:dyDescent="0.2">
      <c r="B282" s="35" t="s">
        <v>1509</v>
      </c>
      <c r="C282" s="76" t="s">
        <v>694</v>
      </c>
      <c r="D282" s="20" t="s">
        <v>2461</v>
      </c>
    </row>
    <row r="283" spans="2:4" x14ac:dyDescent="0.2">
      <c r="B283" s="35" t="s">
        <v>1510</v>
      </c>
      <c r="C283" s="71" t="s">
        <v>695</v>
      </c>
      <c r="D283" s="20" t="s">
        <v>2458</v>
      </c>
    </row>
    <row r="284" spans="2:4" x14ac:dyDescent="0.2">
      <c r="B284" s="35" t="s">
        <v>52</v>
      </c>
      <c r="C284" s="3" t="s">
        <v>143</v>
      </c>
      <c r="D284" s="20" t="s">
        <v>2460</v>
      </c>
    </row>
    <row r="285" spans="2:4" x14ac:dyDescent="0.2">
      <c r="B285" s="35" t="s">
        <v>2671</v>
      </c>
      <c r="C285" s="3" t="s">
        <v>696</v>
      </c>
      <c r="D285" s="20" t="s">
        <v>175</v>
      </c>
    </row>
    <row r="286" spans="2:4" x14ac:dyDescent="0.2">
      <c r="B286" s="35" t="s">
        <v>1511</v>
      </c>
      <c r="C286" s="71" t="s">
        <v>697</v>
      </c>
      <c r="D286" s="20" t="s">
        <v>2458</v>
      </c>
    </row>
    <row r="287" spans="2:4" x14ac:dyDescent="0.2">
      <c r="B287" s="35" t="s">
        <v>53</v>
      </c>
      <c r="C287" s="80" t="s">
        <v>197</v>
      </c>
      <c r="D287" s="20" t="s">
        <v>2459</v>
      </c>
    </row>
    <row r="288" spans="2:4" x14ac:dyDescent="0.2">
      <c r="B288" s="35" t="s">
        <v>1512</v>
      </c>
      <c r="C288" s="80" t="s">
        <v>698</v>
      </c>
      <c r="D288" s="20" t="s">
        <v>2459</v>
      </c>
    </row>
    <row r="289" spans="2:7" x14ac:dyDescent="0.2">
      <c r="B289" s="35" t="s">
        <v>1513</v>
      </c>
      <c r="C289" s="3" t="s">
        <v>187</v>
      </c>
      <c r="D289" s="20" t="s">
        <v>2460</v>
      </c>
    </row>
    <row r="290" spans="2:7" x14ac:dyDescent="0.2">
      <c r="B290" s="35" t="s">
        <v>2672</v>
      </c>
      <c r="C290" s="3" t="s">
        <v>54</v>
      </c>
      <c r="D290" s="20" t="s">
        <v>175</v>
      </c>
    </row>
    <row r="291" spans="2:7" x14ac:dyDescent="0.2">
      <c r="B291" s="35" t="s">
        <v>1514</v>
      </c>
      <c r="C291" s="71" t="s">
        <v>699</v>
      </c>
      <c r="D291" s="20" t="s">
        <v>2458</v>
      </c>
    </row>
    <row r="292" spans="2:7" x14ac:dyDescent="0.2">
      <c r="B292" s="35" t="s">
        <v>1515</v>
      </c>
      <c r="C292" s="2" t="s">
        <v>700</v>
      </c>
      <c r="D292" s="20" t="s">
        <v>2460</v>
      </c>
      <c r="G292" s="68"/>
    </row>
    <row r="293" spans="2:7" x14ac:dyDescent="0.2">
      <c r="B293" s="35" t="s">
        <v>1516</v>
      </c>
      <c r="C293" s="80" t="s">
        <v>701</v>
      </c>
      <c r="D293" s="20" t="s">
        <v>2459</v>
      </c>
    </row>
    <row r="294" spans="2:7" x14ac:dyDescent="0.2">
      <c r="B294" s="35" t="s">
        <v>1517</v>
      </c>
      <c r="C294" s="80" t="s">
        <v>331</v>
      </c>
      <c r="D294" s="20" t="s">
        <v>2459</v>
      </c>
    </row>
    <row r="295" spans="2:7" x14ac:dyDescent="0.2">
      <c r="B295" s="35" t="s">
        <v>2673</v>
      </c>
      <c r="C295" s="3" t="s">
        <v>55</v>
      </c>
      <c r="D295" s="20" t="s">
        <v>175</v>
      </c>
    </row>
    <row r="296" spans="2:7" x14ac:dyDescent="0.2">
      <c r="B296" s="35" t="s">
        <v>1518</v>
      </c>
      <c r="C296" s="80" t="s">
        <v>702</v>
      </c>
      <c r="D296" s="20" t="s">
        <v>2459</v>
      </c>
    </row>
    <row r="297" spans="2:7" x14ac:dyDescent="0.2">
      <c r="B297" s="35" t="s">
        <v>1519</v>
      </c>
      <c r="C297" s="75" t="s">
        <v>703</v>
      </c>
      <c r="D297" s="20" t="s">
        <v>2461</v>
      </c>
    </row>
    <row r="298" spans="2:7" x14ac:dyDescent="0.2">
      <c r="B298" s="35" t="s">
        <v>2674</v>
      </c>
      <c r="C298" s="3" t="s">
        <v>704</v>
      </c>
      <c r="D298" s="20" t="s">
        <v>175</v>
      </c>
    </row>
    <row r="299" spans="2:7" x14ac:dyDescent="0.2">
      <c r="B299" s="35" t="s">
        <v>1520</v>
      </c>
      <c r="C299" s="3" t="s">
        <v>144</v>
      </c>
      <c r="D299" s="20" t="s">
        <v>2460</v>
      </c>
    </row>
    <row r="300" spans="2:7" x14ac:dyDescent="0.2">
      <c r="B300" s="35" t="s">
        <v>1521</v>
      </c>
      <c r="C300" s="80" t="s">
        <v>705</v>
      </c>
      <c r="D300" s="20" t="s">
        <v>2459</v>
      </c>
    </row>
    <row r="301" spans="2:7" x14ac:dyDescent="0.2">
      <c r="B301" s="35" t="s">
        <v>1522</v>
      </c>
      <c r="C301" s="75" t="s">
        <v>706</v>
      </c>
      <c r="D301" s="20" t="s">
        <v>2461</v>
      </c>
      <c r="G301" s="68"/>
    </row>
    <row r="302" spans="2:7" x14ac:dyDescent="0.2">
      <c r="B302" s="35" t="s">
        <v>1523</v>
      </c>
      <c r="C302" s="75" t="s">
        <v>56</v>
      </c>
      <c r="D302" s="20" t="s">
        <v>2462</v>
      </c>
    </row>
    <row r="303" spans="2:7" x14ac:dyDescent="0.2">
      <c r="B303" s="35" t="s">
        <v>1524</v>
      </c>
      <c r="C303" s="80" t="s">
        <v>707</v>
      </c>
      <c r="D303" s="20" t="s">
        <v>2459</v>
      </c>
    </row>
    <row r="304" spans="2:7" x14ac:dyDescent="0.2">
      <c r="B304" s="35" t="s">
        <v>1525</v>
      </c>
      <c r="C304" s="80" t="s">
        <v>145</v>
      </c>
      <c r="D304" s="20" t="s">
        <v>2459</v>
      </c>
    </row>
    <row r="305" spans="2:8" x14ac:dyDescent="0.2">
      <c r="B305" s="35" t="s">
        <v>1526</v>
      </c>
      <c r="C305" s="71" t="s">
        <v>146</v>
      </c>
      <c r="D305" s="20" t="s">
        <v>2458</v>
      </c>
    </row>
    <row r="306" spans="2:8" x14ac:dyDescent="0.2">
      <c r="B306" s="35" t="s">
        <v>2675</v>
      </c>
      <c r="C306" s="3" t="s">
        <v>708</v>
      </c>
      <c r="D306" s="20" t="s">
        <v>175</v>
      </c>
      <c r="F306" s="68"/>
    </row>
    <row r="307" spans="2:8" x14ac:dyDescent="0.2">
      <c r="B307" s="35" t="s">
        <v>1527</v>
      </c>
      <c r="C307" s="2" t="s">
        <v>709</v>
      </c>
      <c r="D307" s="20" t="s">
        <v>2460</v>
      </c>
      <c r="H307" s="69"/>
    </row>
    <row r="308" spans="2:8" x14ac:dyDescent="0.2">
      <c r="B308" s="35" t="s">
        <v>1528</v>
      </c>
      <c r="C308" s="65" t="s">
        <v>57</v>
      </c>
      <c r="D308" s="20" t="s">
        <v>2462</v>
      </c>
    </row>
    <row r="309" spans="2:8" x14ac:dyDescent="0.2">
      <c r="B309" s="35" t="s">
        <v>1529</v>
      </c>
      <c r="C309" s="65" t="s">
        <v>710</v>
      </c>
      <c r="D309" s="20" t="s">
        <v>2463</v>
      </c>
    </row>
    <row r="310" spans="2:8" x14ac:dyDescent="0.2">
      <c r="B310" s="35" t="s">
        <v>1530</v>
      </c>
      <c r="C310" s="81" t="s">
        <v>332</v>
      </c>
      <c r="D310" s="20" t="s">
        <v>2463</v>
      </c>
    </row>
    <row r="311" spans="2:8" x14ac:dyDescent="0.2">
      <c r="B311" s="35" t="s">
        <v>1531</v>
      </c>
      <c r="C311" s="80" t="s">
        <v>711</v>
      </c>
      <c r="D311" s="20" t="s">
        <v>2459</v>
      </c>
    </row>
    <row r="312" spans="2:8" x14ac:dyDescent="0.2">
      <c r="B312" s="35" t="s">
        <v>1532</v>
      </c>
      <c r="C312" s="80" t="s">
        <v>712</v>
      </c>
      <c r="D312" s="20" t="s">
        <v>2459</v>
      </c>
    </row>
    <row r="313" spans="2:8" x14ac:dyDescent="0.2">
      <c r="B313" s="35" t="s">
        <v>1533</v>
      </c>
      <c r="C313" s="71" t="s">
        <v>147</v>
      </c>
      <c r="D313" s="20" t="s">
        <v>2458</v>
      </c>
    </row>
    <row r="314" spans="2:8" x14ac:dyDescent="0.2">
      <c r="B314" s="35" t="s">
        <v>1534</v>
      </c>
      <c r="C314" s="35" t="s">
        <v>713</v>
      </c>
      <c r="D314" s="20" t="s">
        <v>2460</v>
      </c>
      <c r="F314" s="68"/>
    </row>
    <row r="315" spans="2:8" x14ac:dyDescent="0.2">
      <c r="B315" s="35" t="s">
        <v>1535</v>
      </c>
      <c r="C315" s="80" t="s">
        <v>234</v>
      </c>
      <c r="D315" s="20" t="s">
        <v>2459</v>
      </c>
      <c r="F315" s="68"/>
      <c r="G315" s="69"/>
    </row>
    <row r="316" spans="2:8" x14ac:dyDescent="0.2">
      <c r="B316" s="35" t="s">
        <v>1536</v>
      </c>
      <c r="C316" s="68" t="s">
        <v>714</v>
      </c>
      <c r="D316" s="20" t="s">
        <v>2463</v>
      </c>
    </row>
    <row r="317" spans="2:8" x14ac:dyDescent="0.2">
      <c r="B317" s="35" t="s">
        <v>1537</v>
      </c>
      <c r="C317" s="71" t="s">
        <v>333</v>
      </c>
      <c r="D317" s="20" t="s">
        <v>2458</v>
      </c>
    </row>
    <row r="318" spans="2:8" x14ac:dyDescent="0.2">
      <c r="B318" s="35" t="s">
        <v>2676</v>
      </c>
      <c r="C318" s="3" t="s">
        <v>334</v>
      </c>
      <c r="D318" s="20" t="s">
        <v>175</v>
      </c>
    </row>
    <row r="319" spans="2:8" x14ac:dyDescent="0.2">
      <c r="B319" s="35" t="s">
        <v>1538</v>
      </c>
      <c r="C319" s="75" t="s">
        <v>58</v>
      </c>
      <c r="D319" s="20" t="s">
        <v>2462</v>
      </c>
    </row>
    <row r="320" spans="2:8" x14ac:dyDescent="0.2">
      <c r="B320" s="35" t="s">
        <v>1539</v>
      </c>
      <c r="C320" s="75" t="s">
        <v>59</v>
      </c>
      <c r="D320" s="20" t="s">
        <v>2462</v>
      </c>
    </row>
    <row r="321" spans="2:8" x14ac:dyDescent="0.2">
      <c r="B321" s="35" t="s">
        <v>1540</v>
      </c>
      <c r="C321" s="75" t="s">
        <v>60</v>
      </c>
      <c r="D321" s="20" t="s">
        <v>2462</v>
      </c>
    </row>
    <row r="322" spans="2:8" x14ac:dyDescent="0.2">
      <c r="B322" s="35" t="s">
        <v>2677</v>
      </c>
      <c r="C322" s="75" t="s">
        <v>2678</v>
      </c>
      <c r="D322" s="20" t="s">
        <v>2462</v>
      </c>
    </row>
    <row r="323" spans="2:8" x14ac:dyDescent="0.2">
      <c r="B323" s="35" t="s">
        <v>1541</v>
      </c>
      <c r="C323" s="75" t="s">
        <v>715</v>
      </c>
      <c r="D323" s="20" t="s">
        <v>2462</v>
      </c>
    </row>
    <row r="324" spans="2:8" x14ac:dyDescent="0.2">
      <c r="B324" s="35" t="s">
        <v>1542</v>
      </c>
      <c r="C324" s="80" t="s">
        <v>716</v>
      </c>
      <c r="D324" s="20" t="s">
        <v>2459</v>
      </c>
    </row>
    <row r="325" spans="2:8" x14ac:dyDescent="0.2">
      <c r="B325" s="35" t="s">
        <v>1543</v>
      </c>
      <c r="C325" s="3" t="s">
        <v>132</v>
      </c>
      <c r="D325" s="20" t="s">
        <v>2460</v>
      </c>
    </row>
    <row r="326" spans="2:8" x14ac:dyDescent="0.2">
      <c r="B326" s="35" t="s">
        <v>2679</v>
      </c>
      <c r="C326" s="71" t="s">
        <v>215</v>
      </c>
      <c r="D326" s="20" t="s">
        <v>2458</v>
      </c>
    </row>
    <row r="327" spans="2:8" x14ac:dyDescent="0.2">
      <c r="B327" s="35" t="s">
        <v>1544</v>
      </c>
      <c r="C327" s="71" t="s">
        <v>717</v>
      </c>
      <c r="D327" s="20" t="s">
        <v>2458</v>
      </c>
    </row>
    <row r="328" spans="2:8" x14ac:dyDescent="0.2">
      <c r="B328" s="35" t="s">
        <v>1545</v>
      </c>
      <c r="C328" s="3" t="s">
        <v>335</v>
      </c>
      <c r="D328" s="20" t="s">
        <v>2460</v>
      </c>
    </row>
    <row r="329" spans="2:8" x14ac:dyDescent="0.2">
      <c r="B329" s="35" t="s">
        <v>1546</v>
      </c>
      <c r="C329" s="3" t="s">
        <v>336</v>
      </c>
      <c r="D329" s="20" t="s">
        <v>2460</v>
      </c>
    </row>
    <row r="330" spans="2:8" x14ac:dyDescent="0.2">
      <c r="B330" s="35" t="s">
        <v>1547</v>
      </c>
      <c r="C330" s="3" t="s">
        <v>718</v>
      </c>
      <c r="D330" s="20" t="s">
        <v>2460</v>
      </c>
      <c r="E330" s="3"/>
    </row>
    <row r="331" spans="2:8" x14ac:dyDescent="0.2">
      <c r="B331" s="35" t="s">
        <v>1548</v>
      </c>
      <c r="C331" s="3" t="s">
        <v>198</v>
      </c>
      <c r="D331" s="20" t="s">
        <v>2460</v>
      </c>
      <c r="F331" s="69"/>
    </row>
    <row r="332" spans="2:8" x14ac:dyDescent="0.2">
      <c r="B332" s="35" t="s">
        <v>2680</v>
      </c>
      <c r="C332" s="3" t="s">
        <v>216</v>
      </c>
      <c r="D332" s="20" t="s">
        <v>2460</v>
      </c>
      <c r="H332" s="68"/>
    </row>
    <row r="333" spans="2:8" x14ac:dyDescent="0.2">
      <c r="B333" s="35" t="s">
        <v>1549</v>
      </c>
      <c r="C333" s="76" t="s">
        <v>61</v>
      </c>
      <c r="D333" s="20" t="s">
        <v>2463</v>
      </c>
    </row>
    <row r="334" spans="2:8" x14ac:dyDescent="0.2">
      <c r="B334" s="35" t="s">
        <v>1550</v>
      </c>
      <c r="C334" s="71" t="s">
        <v>719</v>
      </c>
      <c r="D334" s="20" t="s">
        <v>2458</v>
      </c>
    </row>
    <row r="335" spans="2:8" x14ac:dyDescent="0.2">
      <c r="B335" s="35" t="s">
        <v>1551</v>
      </c>
      <c r="C335" s="78" t="s">
        <v>720</v>
      </c>
      <c r="D335" s="20" t="s">
        <v>2459</v>
      </c>
    </row>
    <row r="336" spans="2:8" x14ac:dyDescent="0.2">
      <c r="B336" s="35" t="s">
        <v>1552</v>
      </c>
      <c r="C336" s="80" t="s">
        <v>721</v>
      </c>
      <c r="D336" s="20" t="s">
        <v>2459</v>
      </c>
    </row>
    <row r="337" spans="2:7" x14ac:dyDescent="0.2">
      <c r="B337" s="35" t="s">
        <v>1553</v>
      </c>
      <c r="C337" s="68" t="s">
        <v>525</v>
      </c>
      <c r="D337" s="20" t="s">
        <v>2463</v>
      </c>
    </row>
    <row r="338" spans="2:7" x14ac:dyDescent="0.2">
      <c r="B338" s="35" t="s">
        <v>1554</v>
      </c>
      <c r="C338" s="77" t="s">
        <v>722</v>
      </c>
      <c r="D338" s="20" t="s">
        <v>2463</v>
      </c>
    </row>
    <row r="339" spans="2:7" x14ac:dyDescent="0.2">
      <c r="B339" s="35" t="s">
        <v>1555</v>
      </c>
      <c r="C339" s="71" t="s">
        <v>723</v>
      </c>
      <c r="D339" s="20" t="s">
        <v>2458</v>
      </c>
    </row>
    <row r="340" spans="2:7" x14ac:dyDescent="0.2">
      <c r="B340" s="35" t="s">
        <v>1556</v>
      </c>
      <c r="C340" s="71" t="s">
        <v>148</v>
      </c>
      <c r="D340" s="20" t="s">
        <v>2458</v>
      </c>
      <c r="G340" s="68"/>
    </row>
    <row r="341" spans="2:7" x14ac:dyDescent="0.2">
      <c r="B341" s="35" t="s">
        <v>1557</v>
      </c>
      <c r="C341" s="65" t="s">
        <v>2637</v>
      </c>
      <c r="D341" s="20" t="s">
        <v>2463</v>
      </c>
    </row>
    <row r="342" spans="2:7" x14ac:dyDescent="0.2">
      <c r="B342" s="35" t="s">
        <v>1558</v>
      </c>
      <c r="C342" s="65" t="s">
        <v>724</v>
      </c>
      <c r="D342" s="20" t="s">
        <v>2463</v>
      </c>
    </row>
    <row r="343" spans="2:7" x14ac:dyDescent="0.2">
      <c r="B343" s="35" t="s">
        <v>1559</v>
      </c>
      <c r="C343" s="3" t="s">
        <v>725</v>
      </c>
      <c r="D343" s="20" t="s">
        <v>580</v>
      </c>
    </row>
    <row r="344" spans="2:7" x14ac:dyDescent="0.2">
      <c r="B344" s="35" t="s">
        <v>1560</v>
      </c>
      <c r="C344" s="80" t="s">
        <v>726</v>
      </c>
      <c r="D344" s="20" t="s">
        <v>2459</v>
      </c>
    </row>
    <row r="345" spans="2:7" x14ac:dyDescent="0.2">
      <c r="B345" s="35" t="s">
        <v>1561</v>
      </c>
      <c r="C345" s="82" t="s">
        <v>62</v>
      </c>
      <c r="D345" s="20" t="s">
        <v>2459</v>
      </c>
    </row>
    <row r="346" spans="2:7" x14ac:dyDescent="0.2">
      <c r="B346" s="35" t="s">
        <v>1562</v>
      </c>
      <c r="C346" s="71" t="s">
        <v>727</v>
      </c>
      <c r="D346" s="20" t="s">
        <v>2458</v>
      </c>
    </row>
    <row r="347" spans="2:7" x14ac:dyDescent="0.2">
      <c r="B347" s="35" t="s">
        <v>2585</v>
      </c>
      <c r="C347" s="71" t="s">
        <v>2628</v>
      </c>
      <c r="D347" s="20" t="s">
        <v>2458</v>
      </c>
    </row>
    <row r="348" spans="2:7" x14ac:dyDescent="0.2">
      <c r="B348" s="35" t="s">
        <v>2565</v>
      </c>
      <c r="C348" s="80" t="s">
        <v>2608</v>
      </c>
      <c r="D348" s="20" t="s">
        <v>2459</v>
      </c>
    </row>
    <row r="349" spans="2:7" x14ac:dyDescent="0.2">
      <c r="B349" s="35" t="s">
        <v>1563</v>
      </c>
      <c r="C349" s="3" t="s">
        <v>199</v>
      </c>
      <c r="D349" s="20" t="s">
        <v>2460</v>
      </c>
    </row>
    <row r="350" spans="2:7" x14ac:dyDescent="0.2">
      <c r="B350" s="35" t="s">
        <v>1564</v>
      </c>
      <c r="C350" s="80" t="s">
        <v>728</v>
      </c>
      <c r="D350" s="20" t="s">
        <v>2459</v>
      </c>
    </row>
    <row r="351" spans="2:7" x14ac:dyDescent="0.2">
      <c r="B351" s="35" t="s">
        <v>2681</v>
      </c>
      <c r="C351" s="80" t="s">
        <v>729</v>
      </c>
      <c r="D351" s="20" t="s">
        <v>2459</v>
      </c>
    </row>
    <row r="352" spans="2:7" x14ac:dyDescent="0.2">
      <c r="B352" s="35" t="s">
        <v>1565</v>
      </c>
      <c r="C352" s="80" t="s">
        <v>730</v>
      </c>
      <c r="D352" s="20" t="s">
        <v>2459</v>
      </c>
    </row>
    <row r="353" spans="2:6" x14ac:dyDescent="0.2">
      <c r="B353" s="35" t="s">
        <v>1566</v>
      </c>
      <c r="C353" s="2" t="s">
        <v>731</v>
      </c>
      <c r="D353" s="20" t="s">
        <v>2460</v>
      </c>
    </row>
    <row r="354" spans="2:6" x14ac:dyDescent="0.2">
      <c r="B354" s="35" t="s">
        <v>1567</v>
      </c>
      <c r="C354" s="3" t="s">
        <v>732</v>
      </c>
      <c r="D354" s="20" t="s">
        <v>2460</v>
      </c>
    </row>
    <row r="355" spans="2:6" x14ac:dyDescent="0.2">
      <c r="B355" s="35" t="s">
        <v>1568</v>
      </c>
      <c r="C355" s="3" t="s">
        <v>733</v>
      </c>
      <c r="D355" s="20" t="s">
        <v>2460</v>
      </c>
      <c r="F355" s="68"/>
    </row>
    <row r="356" spans="2:6" x14ac:dyDescent="0.2">
      <c r="B356" s="35" t="s">
        <v>1569</v>
      </c>
      <c r="C356" s="2" t="s">
        <v>337</v>
      </c>
      <c r="D356" s="20" t="s">
        <v>2460</v>
      </c>
    </row>
    <row r="357" spans="2:6" x14ac:dyDescent="0.2">
      <c r="B357" s="35" t="s">
        <v>1570</v>
      </c>
      <c r="C357" s="3" t="s">
        <v>734</v>
      </c>
      <c r="D357" s="20" t="s">
        <v>2460</v>
      </c>
    </row>
    <row r="358" spans="2:6" x14ac:dyDescent="0.2">
      <c r="B358" s="35" t="s">
        <v>1571</v>
      </c>
      <c r="C358" s="3" t="s">
        <v>735</v>
      </c>
      <c r="D358" s="20" t="s">
        <v>2460</v>
      </c>
    </row>
    <row r="359" spans="2:6" x14ac:dyDescent="0.2">
      <c r="B359" s="35" t="s">
        <v>1572</v>
      </c>
      <c r="C359" s="83" t="s">
        <v>736</v>
      </c>
      <c r="D359" s="20" t="s">
        <v>2460</v>
      </c>
    </row>
    <row r="360" spans="2:6" x14ac:dyDescent="0.2">
      <c r="B360" s="35" t="s">
        <v>1573</v>
      </c>
      <c r="C360" s="80" t="s">
        <v>737</v>
      </c>
      <c r="D360" s="20" t="s">
        <v>2459</v>
      </c>
    </row>
    <row r="361" spans="2:6" x14ac:dyDescent="0.2">
      <c r="B361" s="35" t="s">
        <v>1574</v>
      </c>
      <c r="C361" s="3" t="s">
        <v>738</v>
      </c>
      <c r="D361" s="20" t="s">
        <v>2460</v>
      </c>
    </row>
    <row r="362" spans="2:6" x14ac:dyDescent="0.2">
      <c r="B362" s="35" t="s">
        <v>2682</v>
      </c>
      <c r="C362" s="3" t="s">
        <v>739</v>
      </c>
      <c r="D362" s="20" t="s">
        <v>175</v>
      </c>
    </row>
    <row r="363" spans="2:6" x14ac:dyDescent="0.2">
      <c r="B363" s="35" t="s">
        <v>1575</v>
      </c>
      <c r="C363" s="65" t="s">
        <v>255</v>
      </c>
      <c r="D363" s="20" t="s">
        <v>2463</v>
      </c>
    </row>
    <row r="364" spans="2:6" x14ac:dyDescent="0.2">
      <c r="B364" s="35" t="s">
        <v>1576</v>
      </c>
      <c r="C364" s="3" t="s">
        <v>254</v>
      </c>
      <c r="D364" s="20" t="s">
        <v>2460</v>
      </c>
    </row>
    <row r="365" spans="2:6" x14ac:dyDescent="0.2">
      <c r="B365" s="35" t="s">
        <v>1577</v>
      </c>
      <c r="C365" s="3" t="s">
        <v>740</v>
      </c>
      <c r="D365" s="20" t="s">
        <v>2460</v>
      </c>
    </row>
    <row r="366" spans="2:6" x14ac:dyDescent="0.2">
      <c r="B366" s="35" t="s">
        <v>1578</v>
      </c>
      <c r="C366" s="3" t="s">
        <v>741</v>
      </c>
      <c r="D366" s="20" t="s">
        <v>2460</v>
      </c>
    </row>
    <row r="367" spans="2:6" x14ac:dyDescent="0.2">
      <c r="B367" s="35" t="s">
        <v>1579</v>
      </c>
      <c r="C367" s="3" t="s">
        <v>742</v>
      </c>
      <c r="D367" s="20" t="s">
        <v>2460</v>
      </c>
    </row>
    <row r="368" spans="2:6" x14ac:dyDescent="0.2">
      <c r="B368" s="35" t="s">
        <v>1580</v>
      </c>
      <c r="C368" s="77" t="s">
        <v>63</v>
      </c>
      <c r="D368" s="20" t="s">
        <v>2462</v>
      </c>
    </row>
    <row r="369" spans="2:4" x14ac:dyDescent="0.2">
      <c r="B369" s="35" t="s">
        <v>1581</v>
      </c>
      <c r="C369" s="3" t="s">
        <v>338</v>
      </c>
      <c r="D369" s="20" t="s">
        <v>2460</v>
      </c>
    </row>
    <row r="370" spans="2:4" x14ac:dyDescent="0.2">
      <c r="B370" s="35" t="s">
        <v>2683</v>
      </c>
      <c r="C370" s="80" t="s">
        <v>743</v>
      </c>
      <c r="D370" s="20" t="s">
        <v>2459</v>
      </c>
    </row>
    <row r="371" spans="2:4" x14ac:dyDescent="0.2">
      <c r="B371" s="35" t="s">
        <v>1582</v>
      </c>
      <c r="C371" s="3" t="s">
        <v>149</v>
      </c>
      <c r="D371" s="20" t="s">
        <v>2460</v>
      </c>
    </row>
    <row r="372" spans="2:4" x14ac:dyDescent="0.2">
      <c r="B372" s="35" t="s">
        <v>1583</v>
      </c>
      <c r="C372" s="80" t="s">
        <v>744</v>
      </c>
      <c r="D372" s="20" t="s">
        <v>2459</v>
      </c>
    </row>
    <row r="373" spans="2:4" x14ac:dyDescent="0.2">
      <c r="B373" s="35" t="s">
        <v>1584</v>
      </c>
      <c r="C373" s="80" t="s">
        <v>745</v>
      </c>
      <c r="D373" s="20" t="s">
        <v>2459</v>
      </c>
    </row>
    <row r="374" spans="2:4" x14ac:dyDescent="0.2">
      <c r="B374" s="35" t="s">
        <v>1585</v>
      </c>
      <c r="C374" s="80" t="s">
        <v>746</v>
      </c>
      <c r="D374" s="20" t="s">
        <v>2459</v>
      </c>
    </row>
    <row r="375" spans="2:4" x14ac:dyDescent="0.2">
      <c r="B375" s="35" t="s">
        <v>2684</v>
      </c>
      <c r="C375" s="80" t="s">
        <v>747</v>
      </c>
      <c r="D375" s="20" t="s">
        <v>2459</v>
      </c>
    </row>
    <row r="376" spans="2:4" x14ac:dyDescent="0.2">
      <c r="B376" s="35" t="s">
        <v>1586</v>
      </c>
      <c r="C376" s="80" t="s">
        <v>748</v>
      </c>
      <c r="D376" s="20" t="s">
        <v>2459</v>
      </c>
    </row>
    <row r="377" spans="2:4" x14ac:dyDescent="0.2">
      <c r="B377" s="35" t="s">
        <v>1587</v>
      </c>
      <c r="C377" s="3" t="s">
        <v>749</v>
      </c>
      <c r="D377" s="20" t="s">
        <v>580</v>
      </c>
    </row>
    <row r="378" spans="2:4" x14ac:dyDescent="0.2">
      <c r="B378" s="35" t="s">
        <v>1588</v>
      </c>
      <c r="C378" s="76" t="s">
        <v>750</v>
      </c>
      <c r="D378" s="20" t="s">
        <v>2463</v>
      </c>
    </row>
    <row r="379" spans="2:4" x14ac:dyDescent="0.2">
      <c r="B379" s="35" t="s">
        <v>1589</v>
      </c>
      <c r="C379" s="71" t="s">
        <v>751</v>
      </c>
      <c r="D379" s="20" t="s">
        <v>2458</v>
      </c>
    </row>
    <row r="380" spans="2:4" x14ac:dyDescent="0.2">
      <c r="B380" s="35" t="s">
        <v>1590</v>
      </c>
      <c r="C380" s="71" t="s">
        <v>752</v>
      </c>
      <c r="D380" s="20" t="s">
        <v>2458</v>
      </c>
    </row>
    <row r="381" spans="2:4" x14ac:dyDescent="0.2">
      <c r="B381" s="35" t="s">
        <v>1591</v>
      </c>
      <c r="C381" s="71" t="s">
        <v>753</v>
      </c>
      <c r="D381" s="20" t="s">
        <v>2458</v>
      </c>
    </row>
    <row r="382" spans="2:4" x14ac:dyDescent="0.2">
      <c r="B382" s="35" t="s">
        <v>1592</v>
      </c>
      <c r="C382" s="71" t="s">
        <v>754</v>
      </c>
      <c r="D382" s="20" t="s">
        <v>2458</v>
      </c>
    </row>
    <row r="383" spans="2:4" x14ac:dyDescent="0.2">
      <c r="B383" s="35" t="s">
        <v>2685</v>
      </c>
      <c r="C383" s="3" t="s">
        <v>755</v>
      </c>
      <c r="D383" s="20" t="s">
        <v>175</v>
      </c>
    </row>
    <row r="384" spans="2:4" x14ac:dyDescent="0.2">
      <c r="B384" s="35" t="s">
        <v>1593</v>
      </c>
      <c r="C384" s="80" t="s">
        <v>150</v>
      </c>
      <c r="D384" s="20" t="s">
        <v>2459</v>
      </c>
    </row>
    <row r="385" spans="2:8" x14ac:dyDescent="0.2">
      <c r="B385" s="35" t="s">
        <v>1594</v>
      </c>
      <c r="C385" s="80" t="s">
        <v>756</v>
      </c>
      <c r="D385" s="20" t="s">
        <v>2459</v>
      </c>
    </row>
    <row r="386" spans="2:8" x14ac:dyDescent="0.2">
      <c r="B386" s="35" t="s">
        <v>2686</v>
      </c>
      <c r="C386" s="80" t="s">
        <v>757</v>
      </c>
      <c r="D386" s="20" t="s">
        <v>2459</v>
      </c>
    </row>
    <row r="387" spans="2:8" x14ac:dyDescent="0.2">
      <c r="B387" s="35" t="s">
        <v>1595</v>
      </c>
      <c r="C387" s="71" t="s">
        <v>758</v>
      </c>
      <c r="D387" s="20" t="s">
        <v>2458</v>
      </c>
    </row>
    <row r="388" spans="2:8" x14ac:dyDescent="0.2">
      <c r="B388" s="35" t="s">
        <v>1596</v>
      </c>
      <c r="C388" s="71" t="s">
        <v>151</v>
      </c>
      <c r="D388" s="20" t="s">
        <v>2458</v>
      </c>
    </row>
    <row r="389" spans="2:8" x14ac:dyDescent="0.2">
      <c r="B389" s="35" t="s">
        <v>1597</v>
      </c>
      <c r="C389" s="71" t="s">
        <v>339</v>
      </c>
      <c r="D389" s="20" t="s">
        <v>2458</v>
      </c>
    </row>
    <row r="390" spans="2:8" x14ac:dyDescent="0.2">
      <c r="B390" s="35" t="s">
        <v>1598</v>
      </c>
      <c r="C390" s="71" t="s">
        <v>152</v>
      </c>
      <c r="D390" s="20" t="s">
        <v>2458</v>
      </c>
    </row>
    <row r="391" spans="2:8" x14ac:dyDescent="0.2">
      <c r="B391" s="35" t="s">
        <v>2687</v>
      </c>
      <c r="C391" s="71" t="s">
        <v>759</v>
      </c>
      <c r="D391" s="20" t="s">
        <v>2458</v>
      </c>
    </row>
    <row r="392" spans="2:8" x14ac:dyDescent="0.2">
      <c r="B392" s="35" t="s">
        <v>2586</v>
      </c>
      <c r="C392" s="71" t="s">
        <v>2629</v>
      </c>
      <c r="D392" s="20" t="s">
        <v>2458</v>
      </c>
    </row>
    <row r="393" spans="2:8" x14ac:dyDescent="0.2">
      <c r="B393" s="35" t="s">
        <v>2566</v>
      </c>
      <c r="C393" s="80" t="s">
        <v>2609</v>
      </c>
      <c r="D393" s="20" t="s">
        <v>2459</v>
      </c>
    </row>
    <row r="394" spans="2:8" x14ac:dyDescent="0.2">
      <c r="B394" s="35" t="s">
        <v>1599</v>
      </c>
      <c r="C394" s="71" t="s">
        <v>760</v>
      </c>
      <c r="D394" s="20" t="s">
        <v>2458</v>
      </c>
    </row>
    <row r="395" spans="2:8" x14ac:dyDescent="0.2">
      <c r="B395" s="35" t="s">
        <v>1600</v>
      </c>
      <c r="C395" s="3" t="s">
        <v>761</v>
      </c>
      <c r="D395" s="20" t="s">
        <v>2460</v>
      </c>
    </row>
    <row r="396" spans="2:8" x14ac:dyDescent="0.2">
      <c r="B396" s="35" t="s">
        <v>1601</v>
      </c>
      <c r="C396" s="71" t="s">
        <v>762</v>
      </c>
      <c r="D396" s="20" t="s">
        <v>2458</v>
      </c>
    </row>
    <row r="397" spans="2:8" x14ac:dyDescent="0.2">
      <c r="B397" s="35" t="s">
        <v>1602</v>
      </c>
      <c r="C397" s="3" t="s">
        <v>200</v>
      </c>
      <c r="D397" s="20" t="s">
        <v>2460</v>
      </c>
    </row>
    <row r="398" spans="2:8" x14ac:dyDescent="0.2">
      <c r="B398" s="35" t="s">
        <v>1603</v>
      </c>
      <c r="C398" s="71" t="s">
        <v>763</v>
      </c>
      <c r="D398" s="20" t="s">
        <v>2458</v>
      </c>
    </row>
    <row r="399" spans="2:8" x14ac:dyDescent="0.2">
      <c r="B399" s="35" t="s">
        <v>1604</v>
      </c>
      <c r="C399" s="71" t="s">
        <v>764</v>
      </c>
      <c r="D399" s="20" t="s">
        <v>2458</v>
      </c>
      <c r="H399" s="68"/>
    </row>
    <row r="400" spans="2:8" x14ac:dyDescent="0.2">
      <c r="B400" s="35" t="s">
        <v>1605</v>
      </c>
      <c r="C400" s="3" t="s">
        <v>64</v>
      </c>
      <c r="D400" s="20" t="s">
        <v>175</v>
      </c>
    </row>
    <row r="401" spans="2:8" x14ac:dyDescent="0.2">
      <c r="B401" s="35" t="s">
        <v>1606</v>
      </c>
      <c r="C401" s="3" t="s">
        <v>153</v>
      </c>
      <c r="D401" s="20" t="s">
        <v>2460</v>
      </c>
      <c r="H401" s="68"/>
    </row>
    <row r="402" spans="2:8" x14ac:dyDescent="0.2">
      <c r="B402" s="35" t="s">
        <v>1607</v>
      </c>
      <c r="C402" s="3" t="s">
        <v>126</v>
      </c>
      <c r="D402" s="20" t="s">
        <v>175</v>
      </c>
    </row>
    <row r="403" spans="2:8" x14ac:dyDescent="0.2">
      <c r="B403" s="35" t="s">
        <v>1609</v>
      </c>
      <c r="C403" s="80" t="s">
        <v>765</v>
      </c>
      <c r="D403" s="20" t="s">
        <v>2459</v>
      </c>
    </row>
    <row r="404" spans="2:8" x14ac:dyDescent="0.2">
      <c r="B404" s="35" t="s">
        <v>1610</v>
      </c>
      <c r="C404" s="71" t="s">
        <v>154</v>
      </c>
      <c r="D404" s="20" t="s">
        <v>2458</v>
      </c>
    </row>
    <row r="405" spans="2:8" x14ac:dyDescent="0.2">
      <c r="B405" s="35" t="s">
        <v>1611</v>
      </c>
      <c r="C405" s="71" t="s">
        <v>127</v>
      </c>
      <c r="D405" s="20" t="s">
        <v>2458</v>
      </c>
    </row>
    <row r="406" spans="2:8" x14ac:dyDescent="0.2">
      <c r="B406" s="35" t="s">
        <v>1612</v>
      </c>
      <c r="C406" s="71" t="s">
        <v>155</v>
      </c>
      <c r="D406" s="20" t="s">
        <v>2458</v>
      </c>
      <c r="G406" s="68"/>
    </row>
    <row r="407" spans="2:8" x14ac:dyDescent="0.2">
      <c r="B407" s="35" t="s">
        <v>1613</v>
      </c>
      <c r="C407" s="3" t="s">
        <v>340</v>
      </c>
      <c r="D407" s="20" t="s">
        <v>2460</v>
      </c>
      <c r="G407" s="68"/>
    </row>
    <row r="408" spans="2:8" x14ac:dyDescent="0.2">
      <c r="B408" s="35" t="s">
        <v>1614</v>
      </c>
      <c r="C408" s="80" t="s">
        <v>766</v>
      </c>
      <c r="D408" s="20" t="s">
        <v>2459</v>
      </c>
    </row>
    <row r="409" spans="2:8" x14ac:dyDescent="0.2">
      <c r="B409" s="35" t="s">
        <v>1615</v>
      </c>
      <c r="C409" s="80" t="s">
        <v>767</v>
      </c>
      <c r="D409" s="20" t="s">
        <v>2459</v>
      </c>
    </row>
    <row r="410" spans="2:8" x14ac:dyDescent="0.2">
      <c r="B410" s="35" t="s">
        <v>1616</v>
      </c>
      <c r="C410" s="2" t="s">
        <v>341</v>
      </c>
      <c r="D410" s="20" t="s">
        <v>2460</v>
      </c>
    </row>
    <row r="411" spans="2:8" x14ac:dyDescent="0.2">
      <c r="B411" s="35" t="s">
        <v>1617</v>
      </c>
      <c r="C411" s="80" t="s">
        <v>768</v>
      </c>
      <c r="D411" s="20" t="s">
        <v>2459</v>
      </c>
    </row>
    <row r="412" spans="2:8" x14ac:dyDescent="0.2">
      <c r="B412" s="35" t="s">
        <v>1618</v>
      </c>
      <c r="C412" s="80" t="s">
        <v>342</v>
      </c>
      <c r="D412" s="20" t="s">
        <v>2459</v>
      </c>
    </row>
    <row r="413" spans="2:8" x14ac:dyDescent="0.2">
      <c r="B413" s="35" t="s">
        <v>1619</v>
      </c>
      <c r="C413" s="80" t="s">
        <v>769</v>
      </c>
      <c r="D413" s="20" t="s">
        <v>2459</v>
      </c>
    </row>
    <row r="414" spans="2:8" x14ac:dyDescent="0.2">
      <c r="B414" s="35" t="s">
        <v>1620</v>
      </c>
      <c r="C414" s="71" t="s">
        <v>770</v>
      </c>
      <c r="D414" s="20" t="s">
        <v>2458</v>
      </c>
    </row>
    <row r="415" spans="2:8" x14ac:dyDescent="0.2">
      <c r="B415" s="35" t="s">
        <v>1621</v>
      </c>
      <c r="C415" s="3" t="s">
        <v>771</v>
      </c>
      <c r="D415" s="20" t="s">
        <v>2460</v>
      </c>
    </row>
    <row r="416" spans="2:8" x14ac:dyDescent="0.2">
      <c r="B416" s="35" t="s">
        <v>1622</v>
      </c>
      <c r="C416" s="77" t="s">
        <v>772</v>
      </c>
      <c r="D416" s="20" t="s">
        <v>2463</v>
      </c>
    </row>
    <row r="417" spans="2:6" x14ac:dyDescent="0.2">
      <c r="B417" s="35" t="s">
        <v>1623</v>
      </c>
      <c r="C417" s="65" t="s">
        <v>773</v>
      </c>
      <c r="D417" s="20" t="s">
        <v>2463</v>
      </c>
    </row>
    <row r="418" spans="2:6" x14ac:dyDescent="0.2">
      <c r="B418" s="35" t="s">
        <v>2688</v>
      </c>
      <c r="C418" s="3" t="s">
        <v>2689</v>
      </c>
      <c r="D418" s="20" t="s">
        <v>175</v>
      </c>
    </row>
    <row r="419" spans="2:6" x14ac:dyDescent="0.2">
      <c r="B419" s="35" t="s">
        <v>1624</v>
      </c>
      <c r="C419" s="3" t="s">
        <v>774</v>
      </c>
      <c r="D419" s="20" t="s">
        <v>175</v>
      </c>
      <c r="F419" s="68"/>
    </row>
    <row r="420" spans="2:6" x14ac:dyDescent="0.2">
      <c r="B420" s="35" t="s">
        <v>1625</v>
      </c>
      <c r="C420" s="80" t="s">
        <v>775</v>
      </c>
      <c r="D420" s="20" t="s">
        <v>2459</v>
      </c>
    </row>
    <row r="421" spans="2:6" x14ac:dyDescent="0.2">
      <c r="B421" s="35" t="s">
        <v>1626</v>
      </c>
      <c r="C421" s="80" t="s">
        <v>776</v>
      </c>
      <c r="D421" s="20" t="s">
        <v>2459</v>
      </c>
      <c r="F421" s="68"/>
    </row>
    <row r="422" spans="2:6" x14ac:dyDescent="0.2">
      <c r="B422" s="35" t="s">
        <v>1627</v>
      </c>
      <c r="C422" s="80" t="s">
        <v>777</v>
      </c>
      <c r="D422" s="20" t="s">
        <v>2459</v>
      </c>
    </row>
    <row r="423" spans="2:6" x14ac:dyDescent="0.2">
      <c r="B423" s="35" t="s">
        <v>1628</v>
      </c>
      <c r="C423" s="80" t="s">
        <v>778</v>
      </c>
      <c r="D423" s="20" t="s">
        <v>2459</v>
      </c>
    </row>
    <row r="424" spans="2:6" x14ac:dyDescent="0.2">
      <c r="B424" s="35" t="s">
        <v>2690</v>
      </c>
      <c r="C424" s="80" t="s">
        <v>779</v>
      </c>
      <c r="D424" s="20" t="s">
        <v>2459</v>
      </c>
    </row>
    <row r="425" spans="2:6" x14ac:dyDescent="0.2">
      <c r="B425" s="35" t="s">
        <v>1629</v>
      </c>
      <c r="C425" s="84" t="s">
        <v>780</v>
      </c>
      <c r="D425" s="20" t="s">
        <v>2460</v>
      </c>
    </row>
    <row r="426" spans="2:6" x14ac:dyDescent="0.2">
      <c r="B426" s="35" t="s">
        <v>1630</v>
      </c>
      <c r="C426" s="71" t="s">
        <v>781</v>
      </c>
      <c r="D426" s="20" t="s">
        <v>2458</v>
      </c>
    </row>
    <row r="427" spans="2:6" x14ac:dyDescent="0.2">
      <c r="B427" s="35" t="s">
        <v>1631</v>
      </c>
      <c r="C427" s="71" t="s">
        <v>782</v>
      </c>
      <c r="D427" s="20" t="s">
        <v>2458</v>
      </c>
    </row>
    <row r="428" spans="2:6" x14ac:dyDescent="0.2">
      <c r="B428" s="35" t="s">
        <v>1632</v>
      </c>
      <c r="C428" s="71" t="s">
        <v>783</v>
      </c>
      <c r="D428" s="20" t="s">
        <v>2458</v>
      </c>
    </row>
    <row r="429" spans="2:6" x14ac:dyDescent="0.2">
      <c r="B429" s="35" t="s">
        <v>1633</v>
      </c>
      <c r="C429" s="71" t="s">
        <v>784</v>
      </c>
      <c r="D429" s="20" t="s">
        <v>2458</v>
      </c>
    </row>
    <row r="430" spans="2:6" x14ac:dyDescent="0.2">
      <c r="B430" s="35" t="s">
        <v>1634</v>
      </c>
      <c r="C430" s="71" t="s">
        <v>785</v>
      </c>
      <c r="D430" s="20" t="s">
        <v>2458</v>
      </c>
    </row>
    <row r="431" spans="2:6" x14ac:dyDescent="0.2">
      <c r="B431" s="35" t="s">
        <v>2691</v>
      </c>
      <c r="C431" s="71" t="s">
        <v>65</v>
      </c>
      <c r="D431" s="20" t="s">
        <v>2458</v>
      </c>
    </row>
    <row r="432" spans="2:6" x14ac:dyDescent="0.2">
      <c r="B432" s="35" t="s">
        <v>1635</v>
      </c>
      <c r="C432" s="71" t="s">
        <v>786</v>
      </c>
      <c r="D432" s="20" t="s">
        <v>2458</v>
      </c>
    </row>
    <row r="433" spans="2:4" x14ac:dyDescent="0.2">
      <c r="B433" s="35" t="s">
        <v>1636</v>
      </c>
      <c r="C433" s="71" t="s">
        <v>787</v>
      </c>
      <c r="D433" s="20" t="s">
        <v>2458</v>
      </c>
    </row>
    <row r="434" spans="2:4" x14ac:dyDescent="0.2">
      <c r="B434" s="35" t="s">
        <v>1637</v>
      </c>
      <c r="C434" s="80" t="s">
        <v>788</v>
      </c>
      <c r="D434" s="20" t="s">
        <v>2459</v>
      </c>
    </row>
    <row r="435" spans="2:4" x14ac:dyDescent="0.2">
      <c r="B435" s="35" t="s">
        <v>1638</v>
      </c>
      <c r="C435" s="80" t="s">
        <v>789</v>
      </c>
      <c r="D435" s="20" t="s">
        <v>2459</v>
      </c>
    </row>
    <row r="436" spans="2:4" x14ac:dyDescent="0.2">
      <c r="B436" s="35" t="s">
        <v>1639</v>
      </c>
      <c r="C436" s="80" t="s">
        <v>790</v>
      </c>
      <c r="D436" s="20" t="s">
        <v>2459</v>
      </c>
    </row>
    <row r="437" spans="2:4" x14ac:dyDescent="0.2">
      <c r="B437" s="35" t="s">
        <v>2692</v>
      </c>
      <c r="C437" s="80" t="s">
        <v>791</v>
      </c>
      <c r="D437" s="20" t="s">
        <v>2459</v>
      </c>
    </row>
    <row r="438" spans="2:4" x14ac:dyDescent="0.2">
      <c r="B438" s="35" t="s">
        <v>1640</v>
      </c>
      <c r="C438" s="80" t="s">
        <v>156</v>
      </c>
      <c r="D438" s="20" t="s">
        <v>2459</v>
      </c>
    </row>
    <row r="439" spans="2:4" x14ac:dyDescent="0.2">
      <c r="B439" s="35" t="s">
        <v>1641</v>
      </c>
      <c r="C439" s="80" t="s">
        <v>792</v>
      </c>
      <c r="D439" s="20" t="s">
        <v>2459</v>
      </c>
    </row>
    <row r="440" spans="2:4" x14ac:dyDescent="0.2">
      <c r="B440" s="35" t="s">
        <v>1642</v>
      </c>
      <c r="C440" s="71" t="s">
        <v>793</v>
      </c>
      <c r="D440" s="20" t="s">
        <v>2458</v>
      </c>
    </row>
    <row r="441" spans="2:4" x14ac:dyDescent="0.2">
      <c r="B441" s="35" t="s">
        <v>1643</v>
      </c>
      <c r="C441" s="71" t="s">
        <v>794</v>
      </c>
      <c r="D441" s="20" t="s">
        <v>2458</v>
      </c>
    </row>
    <row r="442" spans="2:4" x14ac:dyDescent="0.2">
      <c r="B442" s="35" t="s">
        <v>1644</v>
      </c>
      <c r="C442" s="71" t="s">
        <v>343</v>
      </c>
      <c r="D442" s="20" t="s">
        <v>2458</v>
      </c>
    </row>
    <row r="443" spans="2:4" x14ac:dyDescent="0.2">
      <c r="B443" s="35" t="s">
        <v>1645</v>
      </c>
      <c r="C443" s="71" t="s">
        <v>157</v>
      </c>
      <c r="D443" s="20" t="s">
        <v>2458</v>
      </c>
    </row>
    <row r="444" spans="2:4" x14ac:dyDescent="0.2">
      <c r="B444" s="35" t="s">
        <v>2693</v>
      </c>
      <c r="C444" s="71" t="s">
        <v>527</v>
      </c>
      <c r="D444" s="20" t="s">
        <v>2458</v>
      </c>
    </row>
    <row r="445" spans="2:4" x14ac:dyDescent="0.2">
      <c r="B445" s="35" t="s">
        <v>1646</v>
      </c>
      <c r="C445" s="80" t="s">
        <v>344</v>
      </c>
      <c r="D445" s="20" t="s">
        <v>2459</v>
      </c>
    </row>
    <row r="446" spans="2:4" x14ac:dyDescent="0.2">
      <c r="B446" s="35" t="s">
        <v>1647</v>
      </c>
      <c r="C446" s="3" t="s">
        <v>229</v>
      </c>
      <c r="D446" s="20" t="s">
        <v>2460</v>
      </c>
    </row>
    <row r="447" spans="2:4" x14ac:dyDescent="0.2">
      <c r="B447" s="35" t="s">
        <v>1648</v>
      </c>
      <c r="C447" s="3" t="s">
        <v>795</v>
      </c>
      <c r="D447" s="20" t="s">
        <v>2460</v>
      </c>
    </row>
    <row r="448" spans="2:4" x14ac:dyDescent="0.2">
      <c r="B448" s="35" t="s">
        <v>1649</v>
      </c>
      <c r="C448" s="81" t="s">
        <v>796</v>
      </c>
      <c r="D448" s="20" t="s">
        <v>2463</v>
      </c>
    </row>
    <row r="449" spans="1:4" x14ac:dyDescent="0.2">
      <c r="B449" s="35" t="s">
        <v>1650</v>
      </c>
      <c r="C449" s="77" t="s">
        <v>797</v>
      </c>
      <c r="D449" s="20" t="s">
        <v>2463</v>
      </c>
    </row>
    <row r="450" spans="1:4" x14ac:dyDescent="0.2">
      <c r="B450" s="35" t="s">
        <v>1654</v>
      </c>
      <c r="C450" s="2" t="s">
        <v>1655</v>
      </c>
      <c r="D450" s="19" t="s">
        <v>175</v>
      </c>
    </row>
    <row r="451" spans="1:4" x14ac:dyDescent="0.2">
      <c r="B451" s="35" t="s">
        <v>1651</v>
      </c>
      <c r="C451" s="3" t="s">
        <v>798</v>
      </c>
      <c r="D451" s="20" t="s">
        <v>2460</v>
      </c>
    </row>
    <row r="452" spans="1:4" x14ac:dyDescent="0.2">
      <c r="B452" s="35" t="s">
        <v>1652</v>
      </c>
      <c r="C452" s="71" t="s">
        <v>799</v>
      </c>
      <c r="D452" s="20" t="s">
        <v>2458</v>
      </c>
    </row>
    <row r="453" spans="1:4" x14ac:dyDescent="0.2">
      <c r="B453" s="35" t="s">
        <v>1653</v>
      </c>
      <c r="C453" s="3" t="s">
        <v>800</v>
      </c>
      <c r="D453" s="20" t="s">
        <v>2460</v>
      </c>
    </row>
    <row r="454" spans="1:4" x14ac:dyDescent="0.2">
      <c r="B454" s="35" t="s">
        <v>1657</v>
      </c>
      <c r="C454" s="71" t="s">
        <v>801</v>
      </c>
      <c r="D454" s="20" t="s">
        <v>2458</v>
      </c>
    </row>
    <row r="455" spans="1:4" x14ac:dyDescent="0.2">
      <c r="B455" s="35" t="s">
        <v>1658</v>
      </c>
      <c r="C455" s="3" t="s">
        <v>201</v>
      </c>
      <c r="D455" s="20" t="s">
        <v>2460</v>
      </c>
    </row>
    <row r="456" spans="1:4" x14ac:dyDescent="0.2">
      <c r="B456" s="35" t="s">
        <v>1656</v>
      </c>
      <c r="C456" s="3" t="s">
        <v>190</v>
      </c>
      <c r="D456" s="20" t="s">
        <v>175</v>
      </c>
    </row>
    <row r="457" spans="1:4" x14ac:dyDescent="0.2">
      <c r="A457" s="3"/>
      <c r="B457" s="35" t="s">
        <v>1659</v>
      </c>
      <c r="C457" s="65" t="s">
        <v>66</v>
      </c>
      <c r="D457" s="20" t="s">
        <v>2462</v>
      </c>
    </row>
    <row r="458" spans="1:4" x14ac:dyDescent="0.2">
      <c r="A458" s="3"/>
      <c r="B458" s="35" t="s">
        <v>1660</v>
      </c>
      <c r="C458" s="65" t="s">
        <v>191</v>
      </c>
      <c r="D458" s="20" t="s">
        <v>2462</v>
      </c>
    </row>
    <row r="459" spans="1:4" x14ac:dyDescent="0.2">
      <c r="B459" s="35" t="s">
        <v>1661</v>
      </c>
      <c r="C459" s="65" t="s">
        <v>67</v>
      </c>
      <c r="D459" s="20" t="s">
        <v>2462</v>
      </c>
    </row>
    <row r="460" spans="1:4" x14ac:dyDescent="0.2">
      <c r="B460" s="35" t="s">
        <v>1662</v>
      </c>
      <c r="C460" s="80" t="s">
        <v>802</v>
      </c>
      <c r="D460" s="20" t="s">
        <v>2459</v>
      </c>
    </row>
    <row r="461" spans="1:4" ht="15" x14ac:dyDescent="0.25">
      <c r="B461" s="35" t="s">
        <v>1663</v>
      </c>
      <c r="C461" s="85" t="s">
        <v>345</v>
      </c>
      <c r="D461" s="20" t="s">
        <v>2462</v>
      </c>
    </row>
    <row r="462" spans="1:4" x14ac:dyDescent="0.2">
      <c r="B462" s="35" t="s">
        <v>1664</v>
      </c>
      <c r="C462" s="80" t="s">
        <v>158</v>
      </c>
      <c r="D462" s="20" t="s">
        <v>2459</v>
      </c>
    </row>
    <row r="463" spans="1:4" x14ac:dyDescent="0.2">
      <c r="B463" s="35" t="s">
        <v>1665</v>
      </c>
      <c r="C463" s="80" t="s">
        <v>159</v>
      </c>
      <c r="D463" s="20" t="s">
        <v>2459</v>
      </c>
    </row>
    <row r="464" spans="1:4" x14ac:dyDescent="0.2">
      <c r="B464" s="35" t="s">
        <v>1666</v>
      </c>
      <c r="C464" s="80" t="s">
        <v>803</v>
      </c>
      <c r="D464" s="20" t="s">
        <v>2459</v>
      </c>
    </row>
    <row r="465" spans="2:4" x14ac:dyDescent="0.2">
      <c r="B465" s="35" t="s">
        <v>2694</v>
      </c>
      <c r="C465" s="80" t="s">
        <v>804</v>
      </c>
      <c r="D465" s="20" t="s">
        <v>2459</v>
      </c>
    </row>
    <row r="466" spans="2:4" x14ac:dyDescent="0.2">
      <c r="B466" s="35" t="s">
        <v>1667</v>
      </c>
      <c r="C466" s="3" t="s">
        <v>805</v>
      </c>
      <c r="D466" s="20" t="s">
        <v>2460</v>
      </c>
    </row>
    <row r="467" spans="2:4" x14ac:dyDescent="0.2">
      <c r="B467" s="35" t="s">
        <v>1668</v>
      </c>
      <c r="C467" s="3" t="s">
        <v>346</v>
      </c>
      <c r="D467" s="20" t="s">
        <v>2460</v>
      </c>
    </row>
    <row r="468" spans="2:4" x14ac:dyDescent="0.2">
      <c r="B468" s="35" t="s">
        <v>1669</v>
      </c>
      <c r="C468" s="77" t="s">
        <v>68</v>
      </c>
      <c r="D468" s="20" t="s">
        <v>2463</v>
      </c>
    </row>
    <row r="469" spans="2:4" x14ac:dyDescent="0.2">
      <c r="B469" s="35" t="s">
        <v>1670</v>
      </c>
      <c r="C469" s="71" t="s">
        <v>806</v>
      </c>
      <c r="D469" s="20" t="s">
        <v>2458</v>
      </c>
    </row>
    <row r="470" spans="2:4" x14ac:dyDescent="0.2">
      <c r="B470" s="35" t="s">
        <v>1671</v>
      </c>
      <c r="C470" s="3" t="s">
        <v>807</v>
      </c>
      <c r="D470" s="20" t="s">
        <v>2460</v>
      </c>
    </row>
    <row r="471" spans="2:4" x14ac:dyDescent="0.2">
      <c r="B471" s="35" t="s">
        <v>1672</v>
      </c>
      <c r="C471" s="80" t="s">
        <v>160</v>
      </c>
      <c r="D471" s="20" t="s">
        <v>2459</v>
      </c>
    </row>
    <row r="472" spans="2:4" x14ac:dyDescent="0.2">
      <c r="B472" s="35" t="s">
        <v>1673</v>
      </c>
      <c r="C472" s="80" t="s">
        <v>347</v>
      </c>
      <c r="D472" s="20" t="s">
        <v>2459</v>
      </c>
    </row>
    <row r="473" spans="2:4" x14ac:dyDescent="0.2">
      <c r="B473" s="35" t="s">
        <v>1674</v>
      </c>
      <c r="C473" s="80" t="s">
        <v>808</v>
      </c>
      <c r="D473" s="20" t="s">
        <v>2459</v>
      </c>
    </row>
    <row r="474" spans="2:4" x14ac:dyDescent="0.2">
      <c r="B474" s="35" t="s">
        <v>1675</v>
      </c>
      <c r="C474" s="71" t="s">
        <v>809</v>
      </c>
      <c r="D474" s="20" t="s">
        <v>2458</v>
      </c>
    </row>
    <row r="475" spans="2:4" x14ac:dyDescent="0.2">
      <c r="B475" s="35" t="s">
        <v>1676</v>
      </c>
      <c r="C475" s="80" t="s">
        <v>810</v>
      </c>
      <c r="D475" s="20" t="s">
        <v>2459</v>
      </c>
    </row>
    <row r="476" spans="2:4" x14ac:dyDescent="0.2">
      <c r="B476" s="35" t="s">
        <v>2695</v>
      </c>
      <c r="C476" s="3" t="s">
        <v>811</v>
      </c>
      <c r="D476" s="20" t="s">
        <v>175</v>
      </c>
    </row>
    <row r="477" spans="2:4" x14ac:dyDescent="0.2">
      <c r="B477" s="35" t="s">
        <v>1677</v>
      </c>
      <c r="C477" s="80" t="s">
        <v>812</v>
      </c>
      <c r="D477" s="20" t="s">
        <v>2459</v>
      </c>
    </row>
    <row r="478" spans="2:4" x14ac:dyDescent="0.2">
      <c r="B478" s="35" t="s">
        <v>2587</v>
      </c>
      <c r="C478" s="71" t="s">
        <v>2630</v>
      </c>
      <c r="D478" s="20" t="s">
        <v>2458</v>
      </c>
    </row>
    <row r="479" spans="2:4" x14ac:dyDescent="0.2">
      <c r="B479" s="35" t="s">
        <v>2567</v>
      </c>
      <c r="C479" s="80" t="s">
        <v>2610</v>
      </c>
      <c r="D479" s="20" t="s">
        <v>2459</v>
      </c>
    </row>
    <row r="480" spans="2:4" x14ac:dyDescent="0.2">
      <c r="B480" s="35" t="s">
        <v>2588</v>
      </c>
      <c r="C480" s="71" t="s">
        <v>2631</v>
      </c>
      <c r="D480" s="20" t="s">
        <v>2458</v>
      </c>
    </row>
    <row r="481" spans="2:4" x14ac:dyDescent="0.2">
      <c r="B481" s="35" t="s">
        <v>2568</v>
      </c>
      <c r="C481" s="80" t="s">
        <v>2611</v>
      </c>
      <c r="D481" s="20" t="s">
        <v>2459</v>
      </c>
    </row>
    <row r="482" spans="2:4" x14ac:dyDescent="0.2">
      <c r="B482" s="35" t="s">
        <v>1678</v>
      </c>
      <c r="C482" s="3" t="s">
        <v>813</v>
      </c>
      <c r="D482" s="20" t="s">
        <v>2460</v>
      </c>
    </row>
    <row r="483" spans="2:4" x14ac:dyDescent="0.2">
      <c r="B483" s="35" t="s">
        <v>1679</v>
      </c>
      <c r="C483" s="3" t="s">
        <v>814</v>
      </c>
      <c r="D483" s="20" t="s">
        <v>2460</v>
      </c>
    </row>
    <row r="484" spans="2:4" x14ac:dyDescent="0.2">
      <c r="B484" s="35" t="s">
        <v>1680</v>
      </c>
      <c r="C484" s="3" t="s">
        <v>815</v>
      </c>
      <c r="D484" s="20" t="s">
        <v>2460</v>
      </c>
    </row>
    <row r="485" spans="2:4" x14ac:dyDescent="0.2">
      <c r="B485" s="35" t="s">
        <v>2696</v>
      </c>
      <c r="C485" s="3" t="s">
        <v>816</v>
      </c>
      <c r="D485" s="20" t="s">
        <v>2460</v>
      </c>
    </row>
    <row r="486" spans="2:4" x14ac:dyDescent="0.2">
      <c r="B486" s="35" t="s">
        <v>1681</v>
      </c>
      <c r="C486" s="71" t="s">
        <v>817</v>
      </c>
      <c r="D486" s="20" t="s">
        <v>2458</v>
      </c>
    </row>
    <row r="487" spans="2:4" x14ac:dyDescent="0.2">
      <c r="B487" s="35" t="s">
        <v>1683</v>
      </c>
      <c r="C487" s="3" t="s">
        <v>818</v>
      </c>
      <c r="D487" s="20" t="s">
        <v>2460</v>
      </c>
    </row>
    <row r="488" spans="2:4" x14ac:dyDescent="0.2">
      <c r="B488" s="35" t="s">
        <v>1682</v>
      </c>
      <c r="C488" s="3" t="s">
        <v>219</v>
      </c>
      <c r="D488" s="20" t="s">
        <v>2460</v>
      </c>
    </row>
    <row r="489" spans="2:4" x14ac:dyDescent="0.2">
      <c r="B489" s="35" t="s">
        <v>1684</v>
      </c>
      <c r="C489" s="77" t="s">
        <v>348</v>
      </c>
      <c r="D489" s="20" t="s">
        <v>2462</v>
      </c>
    </row>
    <row r="490" spans="2:4" x14ac:dyDescent="0.2">
      <c r="B490" s="35" t="s">
        <v>1685</v>
      </c>
      <c r="C490" s="65" t="s">
        <v>69</v>
      </c>
      <c r="D490" s="20" t="s">
        <v>2461</v>
      </c>
    </row>
    <row r="491" spans="2:4" x14ac:dyDescent="0.2">
      <c r="B491" s="35" t="s">
        <v>1686</v>
      </c>
      <c r="C491" s="3" t="s">
        <v>349</v>
      </c>
      <c r="D491" s="20" t="s">
        <v>2460</v>
      </c>
    </row>
    <row r="492" spans="2:4" x14ac:dyDescent="0.2">
      <c r="B492" s="35" t="s">
        <v>1687</v>
      </c>
      <c r="C492" s="80" t="s">
        <v>819</v>
      </c>
      <c r="D492" s="20" t="s">
        <v>2459</v>
      </c>
    </row>
    <row r="493" spans="2:4" x14ac:dyDescent="0.2">
      <c r="B493" s="35" t="s">
        <v>1688</v>
      </c>
      <c r="C493" s="3" t="s">
        <v>350</v>
      </c>
      <c r="D493" s="20" t="s">
        <v>2460</v>
      </c>
    </row>
    <row r="494" spans="2:4" x14ac:dyDescent="0.2">
      <c r="B494" s="35" t="s">
        <v>1689</v>
      </c>
      <c r="C494" s="3" t="s">
        <v>820</v>
      </c>
      <c r="D494" s="20" t="s">
        <v>2460</v>
      </c>
    </row>
    <row r="495" spans="2:4" x14ac:dyDescent="0.2">
      <c r="B495" s="35" t="s">
        <v>1690</v>
      </c>
      <c r="C495" s="3" t="s">
        <v>821</v>
      </c>
      <c r="D495" s="20" t="s">
        <v>2460</v>
      </c>
    </row>
    <row r="496" spans="2:4" x14ac:dyDescent="0.2">
      <c r="B496" s="35" t="s">
        <v>1691</v>
      </c>
      <c r="C496" s="80" t="s">
        <v>822</v>
      </c>
      <c r="D496" s="20" t="s">
        <v>2459</v>
      </c>
    </row>
    <row r="497" spans="2:4" x14ac:dyDescent="0.2">
      <c r="B497" s="35" t="s">
        <v>1692</v>
      </c>
      <c r="C497" s="80" t="s">
        <v>823</v>
      </c>
      <c r="D497" s="20" t="s">
        <v>2459</v>
      </c>
    </row>
    <row r="498" spans="2:4" x14ac:dyDescent="0.2">
      <c r="B498" s="35" t="s">
        <v>1693</v>
      </c>
      <c r="C498" s="3" t="s">
        <v>71</v>
      </c>
      <c r="D498" s="20" t="s">
        <v>2460</v>
      </c>
    </row>
    <row r="499" spans="2:4" x14ac:dyDescent="0.2">
      <c r="B499" s="35" t="s">
        <v>1694</v>
      </c>
      <c r="C499" s="65" t="s">
        <v>70</v>
      </c>
      <c r="D499" s="20" t="s">
        <v>2463</v>
      </c>
    </row>
    <row r="500" spans="2:4" x14ac:dyDescent="0.2">
      <c r="B500" s="35" t="s">
        <v>1695</v>
      </c>
      <c r="C500" s="2" t="s">
        <v>824</v>
      </c>
      <c r="D500" s="20" t="s">
        <v>2460</v>
      </c>
    </row>
    <row r="501" spans="2:4" x14ac:dyDescent="0.2">
      <c r="B501" s="35" t="s">
        <v>1696</v>
      </c>
      <c r="C501" s="65" t="s">
        <v>217</v>
      </c>
      <c r="D501" s="20" t="s">
        <v>2463</v>
      </c>
    </row>
    <row r="502" spans="2:4" x14ac:dyDescent="0.2">
      <c r="B502" s="35" t="s">
        <v>1697</v>
      </c>
      <c r="C502" s="3" t="s">
        <v>218</v>
      </c>
      <c r="D502" s="20" t="s">
        <v>175</v>
      </c>
    </row>
    <row r="503" spans="2:4" x14ac:dyDescent="0.2">
      <c r="B503" s="35" t="s">
        <v>2697</v>
      </c>
      <c r="C503" s="65" t="s">
        <v>2698</v>
      </c>
      <c r="D503" s="20" t="s">
        <v>175</v>
      </c>
    </row>
    <row r="504" spans="2:4" x14ac:dyDescent="0.2">
      <c r="B504" s="35" t="s">
        <v>1698</v>
      </c>
      <c r="C504" s="3" t="s">
        <v>825</v>
      </c>
      <c r="D504" s="20" t="s">
        <v>2460</v>
      </c>
    </row>
    <row r="505" spans="2:4" x14ac:dyDescent="0.2">
      <c r="B505" s="35" t="s">
        <v>1699</v>
      </c>
      <c r="C505" s="3" t="s">
        <v>826</v>
      </c>
      <c r="D505" s="20" t="s">
        <v>2460</v>
      </c>
    </row>
    <row r="506" spans="2:4" x14ac:dyDescent="0.2">
      <c r="B506" s="35" t="s">
        <v>1700</v>
      </c>
      <c r="C506" s="71" t="s">
        <v>351</v>
      </c>
      <c r="D506" s="20" t="s">
        <v>2458</v>
      </c>
    </row>
    <row r="507" spans="2:4" x14ac:dyDescent="0.2">
      <c r="B507" s="35" t="s">
        <v>1701</v>
      </c>
      <c r="C507" s="80" t="s">
        <v>352</v>
      </c>
      <c r="D507" s="20" t="s">
        <v>2459</v>
      </c>
    </row>
    <row r="508" spans="2:4" x14ac:dyDescent="0.2">
      <c r="B508" s="35" t="s">
        <v>1702</v>
      </c>
      <c r="C508" s="80" t="s">
        <v>827</v>
      </c>
      <c r="D508" s="20" t="s">
        <v>2459</v>
      </c>
    </row>
    <row r="509" spans="2:4" x14ac:dyDescent="0.2">
      <c r="B509" s="35" t="s">
        <v>1703</v>
      </c>
      <c r="C509" s="80" t="s">
        <v>353</v>
      </c>
      <c r="D509" s="20" t="s">
        <v>2459</v>
      </c>
    </row>
    <row r="510" spans="2:4" x14ac:dyDescent="0.2">
      <c r="B510" s="35" t="s">
        <v>1704</v>
      </c>
      <c r="C510" s="80" t="s">
        <v>828</v>
      </c>
      <c r="D510" s="20" t="s">
        <v>2459</v>
      </c>
    </row>
    <row r="511" spans="2:4" x14ac:dyDescent="0.2">
      <c r="B511" s="35" t="s">
        <v>1705</v>
      </c>
      <c r="C511" s="3" t="s">
        <v>829</v>
      </c>
      <c r="D511" s="20" t="s">
        <v>2460</v>
      </c>
    </row>
    <row r="512" spans="2:4" x14ac:dyDescent="0.2">
      <c r="B512" s="35" t="s">
        <v>2699</v>
      </c>
      <c r="C512" s="3" t="s">
        <v>830</v>
      </c>
      <c r="D512" s="20" t="s">
        <v>175</v>
      </c>
    </row>
    <row r="513" spans="2:4" x14ac:dyDescent="0.2">
      <c r="B513" s="35" t="s">
        <v>1706</v>
      </c>
      <c r="C513" s="71" t="s">
        <v>831</v>
      </c>
      <c r="D513" s="20" t="s">
        <v>2458</v>
      </c>
    </row>
    <row r="514" spans="2:4" x14ac:dyDescent="0.2">
      <c r="B514" s="35" t="s">
        <v>1709</v>
      </c>
      <c r="C514" s="3" t="s">
        <v>354</v>
      </c>
      <c r="D514" s="20" t="s">
        <v>2460</v>
      </c>
    </row>
    <row r="515" spans="2:4" x14ac:dyDescent="0.2">
      <c r="B515" s="35" t="s">
        <v>1710</v>
      </c>
      <c r="C515" s="3" t="s">
        <v>832</v>
      </c>
      <c r="D515" s="20" t="s">
        <v>2460</v>
      </c>
    </row>
    <row r="516" spans="2:4" x14ac:dyDescent="0.2">
      <c r="B516" s="35" t="s">
        <v>1711</v>
      </c>
      <c r="C516" s="3" t="s">
        <v>355</v>
      </c>
      <c r="D516" s="20" t="s">
        <v>2460</v>
      </c>
    </row>
    <row r="517" spans="2:4" x14ac:dyDescent="0.2">
      <c r="B517" s="35" t="s">
        <v>2543</v>
      </c>
      <c r="C517" s="3" t="s">
        <v>833</v>
      </c>
      <c r="D517" s="20" t="s">
        <v>2460</v>
      </c>
    </row>
    <row r="518" spans="2:4" x14ac:dyDescent="0.2">
      <c r="B518" s="35" t="s">
        <v>1712</v>
      </c>
      <c r="C518" s="77" t="s">
        <v>265</v>
      </c>
      <c r="D518" s="20" t="s">
        <v>2463</v>
      </c>
    </row>
    <row r="519" spans="2:4" x14ac:dyDescent="0.2">
      <c r="B519" s="35" t="s">
        <v>1713</v>
      </c>
      <c r="C519" s="3" t="s">
        <v>161</v>
      </c>
      <c r="D519" s="20" t="s">
        <v>2460</v>
      </c>
    </row>
    <row r="520" spans="2:4" x14ac:dyDescent="0.2">
      <c r="B520" s="35" t="s">
        <v>1714</v>
      </c>
      <c r="C520" s="71" t="s">
        <v>356</v>
      </c>
      <c r="D520" s="20" t="s">
        <v>2458</v>
      </c>
    </row>
    <row r="521" spans="2:4" x14ac:dyDescent="0.2">
      <c r="B521" s="35" t="s">
        <v>1715</v>
      </c>
      <c r="C521" s="3" t="s">
        <v>834</v>
      </c>
      <c r="D521" s="20" t="s">
        <v>2460</v>
      </c>
    </row>
    <row r="522" spans="2:4" x14ac:dyDescent="0.2">
      <c r="B522" s="35" t="s">
        <v>1716</v>
      </c>
      <c r="C522" s="3" t="s">
        <v>835</v>
      </c>
      <c r="D522" s="20" t="s">
        <v>2460</v>
      </c>
    </row>
    <row r="523" spans="2:4" x14ac:dyDescent="0.2">
      <c r="B523" s="35" t="s">
        <v>1717</v>
      </c>
      <c r="C523" s="3" t="s">
        <v>836</v>
      </c>
      <c r="D523" s="20" t="s">
        <v>2460</v>
      </c>
    </row>
    <row r="524" spans="2:4" x14ac:dyDescent="0.2">
      <c r="B524" s="35" t="s">
        <v>1718</v>
      </c>
      <c r="C524" s="3" t="s">
        <v>837</v>
      </c>
      <c r="D524" s="20" t="s">
        <v>2460</v>
      </c>
    </row>
    <row r="525" spans="2:4" x14ac:dyDescent="0.2">
      <c r="B525" s="35" t="s">
        <v>1719</v>
      </c>
      <c r="C525" s="3" t="s">
        <v>838</v>
      </c>
      <c r="D525" s="20" t="s">
        <v>2460</v>
      </c>
    </row>
    <row r="526" spans="2:4" x14ac:dyDescent="0.2">
      <c r="B526" s="35" t="s">
        <v>1720</v>
      </c>
      <c r="C526" s="3" t="s">
        <v>357</v>
      </c>
      <c r="D526" s="20" t="s">
        <v>2460</v>
      </c>
    </row>
    <row r="527" spans="2:4" x14ac:dyDescent="0.2">
      <c r="B527" s="35" t="s">
        <v>1721</v>
      </c>
      <c r="C527" s="3" t="s">
        <v>358</v>
      </c>
      <c r="D527" s="20" t="s">
        <v>2460</v>
      </c>
    </row>
    <row r="528" spans="2:4" x14ac:dyDescent="0.2">
      <c r="B528" s="35" t="s">
        <v>1722</v>
      </c>
      <c r="C528" s="3" t="s">
        <v>359</v>
      </c>
      <c r="D528" s="20" t="s">
        <v>2460</v>
      </c>
    </row>
    <row r="529" spans="2:4" x14ac:dyDescent="0.2">
      <c r="B529" s="35" t="s">
        <v>1723</v>
      </c>
      <c r="C529" s="3" t="s">
        <v>839</v>
      </c>
      <c r="D529" s="20" t="s">
        <v>2460</v>
      </c>
    </row>
    <row r="530" spans="2:4" x14ac:dyDescent="0.2">
      <c r="B530" s="35" t="s">
        <v>1724</v>
      </c>
      <c r="C530" s="3" t="s">
        <v>840</v>
      </c>
      <c r="D530" s="20" t="s">
        <v>2460</v>
      </c>
    </row>
    <row r="531" spans="2:4" x14ac:dyDescent="0.2">
      <c r="B531" s="35" t="s">
        <v>1725</v>
      </c>
      <c r="C531" s="3" t="s">
        <v>841</v>
      </c>
      <c r="D531" s="20" t="s">
        <v>2460</v>
      </c>
    </row>
    <row r="532" spans="2:4" x14ac:dyDescent="0.2">
      <c r="B532" s="35" t="s">
        <v>1726</v>
      </c>
      <c r="C532" s="3" t="s">
        <v>842</v>
      </c>
      <c r="D532" s="20" t="s">
        <v>2460</v>
      </c>
    </row>
    <row r="533" spans="2:4" x14ac:dyDescent="0.2">
      <c r="B533" s="35" t="s">
        <v>1727</v>
      </c>
      <c r="C533" s="3" t="s">
        <v>843</v>
      </c>
      <c r="D533" s="20" t="s">
        <v>2460</v>
      </c>
    </row>
    <row r="534" spans="2:4" x14ac:dyDescent="0.2">
      <c r="B534" s="35" t="s">
        <v>1728</v>
      </c>
      <c r="C534" s="3" t="s">
        <v>360</v>
      </c>
      <c r="D534" s="20" t="s">
        <v>2460</v>
      </c>
    </row>
    <row r="535" spans="2:4" x14ac:dyDescent="0.2">
      <c r="B535" s="35" t="s">
        <v>1729</v>
      </c>
      <c r="C535" s="3" t="s">
        <v>844</v>
      </c>
      <c r="D535" s="20" t="s">
        <v>2460</v>
      </c>
    </row>
    <row r="536" spans="2:4" x14ac:dyDescent="0.2">
      <c r="B536" s="35" t="s">
        <v>1730</v>
      </c>
      <c r="C536" s="3" t="s">
        <v>845</v>
      </c>
      <c r="D536" s="20" t="s">
        <v>2460</v>
      </c>
    </row>
    <row r="537" spans="2:4" x14ac:dyDescent="0.2">
      <c r="B537" s="35" t="s">
        <v>1731</v>
      </c>
      <c r="C537" s="3" t="s">
        <v>846</v>
      </c>
      <c r="D537" s="20" t="s">
        <v>2460</v>
      </c>
    </row>
    <row r="538" spans="2:4" x14ac:dyDescent="0.2">
      <c r="B538" s="35" t="s">
        <v>1732</v>
      </c>
      <c r="C538" s="3" t="s">
        <v>361</v>
      </c>
      <c r="D538" s="20" t="s">
        <v>2460</v>
      </c>
    </row>
    <row r="539" spans="2:4" x14ac:dyDescent="0.2">
      <c r="B539" s="35" t="s">
        <v>1733</v>
      </c>
      <c r="C539" s="3" t="s">
        <v>847</v>
      </c>
      <c r="D539" s="20" t="s">
        <v>2460</v>
      </c>
    </row>
    <row r="540" spans="2:4" x14ac:dyDescent="0.2">
      <c r="B540" s="35" t="s">
        <v>1734</v>
      </c>
      <c r="C540" s="3" t="s">
        <v>848</v>
      </c>
      <c r="D540" s="20" t="s">
        <v>2460</v>
      </c>
    </row>
    <row r="541" spans="2:4" x14ac:dyDescent="0.2">
      <c r="B541" s="35" t="s">
        <v>1735</v>
      </c>
      <c r="C541" s="3" t="s">
        <v>849</v>
      </c>
      <c r="D541" s="20" t="s">
        <v>2460</v>
      </c>
    </row>
    <row r="542" spans="2:4" x14ac:dyDescent="0.2">
      <c r="B542" s="35" t="s">
        <v>1736</v>
      </c>
      <c r="C542" s="3" t="s">
        <v>850</v>
      </c>
      <c r="D542" s="20" t="s">
        <v>2460</v>
      </c>
    </row>
    <row r="543" spans="2:4" x14ac:dyDescent="0.2">
      <c r="B543" s="35" t="s">
        <v>1737</v>
      </c>
      <c r="C543" s="3" t="s">
        <v>362</v>
      </c>
      <c r="D543" s="20" t="s">
        <v>2460</v>
      </c>
    </row>
    <row r="544" spans="2:4" x14ac:dyDescent="0.2">
      <c r="B544" s="35" t="s">
        <v>1738</v>
      </c>
      <c r="C544" s="3" t="s">
        <v>851</v>
      </c>
      <c r="D544" s="20" t="s">
        <v>2460</v>
      </c>
    </row>
    <row r="545" spans="2:4" x14ac:dyDescent="0.2">
      <c r="B545" s="35" t="s">
        <v>1739</v>
      </c>
      <c r="C545" s="3" t="s">
        <v>852</v>
      </c>
      <c r="D545" s="20" t="s">
        <v>2460</v>
      </c>
    </row>
    <row r="546" spans="2:4" x14ac:dyDescent="0.2">
      <c r="B546" s="35" t="s">
        <v>1740</v>
      </c>
      <c r="C546" s="3" t="s">
        <v>853</v>
      </c>
      <c r="D546" s="20" t="s">
        <v>2460</v>
      </c>
    </row>
    <row r="547" spans="2:4" x14ac:dyDescent="0.2">
      <c r="B547" s="35" t="s">
        <v>1741</v>
      </c>
      <c r="C547" s="3" t="s">
        <v>854</v>
      </c>
      <c r="D547" s="20" t="s">
        <v>2460</v>
      </c>
    </row>
    <row r="548" spans="2:4" x14ac:dyDescent="0.2">
      <c r="B548" s="35" t="s">
        <v>2700</v>
      </c>
      <c r="C548" s="3" t="s">
        <v>855</v>
      </c>
      <c r="D548" s="20" t="s">
        <v>2460</v>
      </c>
    </row>
    <row r="549" spans="2:4" x14ac:dyDescent="0.2">
      <c r="B549" s="35" t="s">
        <v>1742</v>
      </c>
      <c r="C549" s="3" t="s">
        <v>856</v>
      </c>
      <c r="D549" s="20" t="s">
        <v>2460</v>
      </c>
    </row>
    <row r="550" spans="2:4" x14ac:dyDescent="0.2">
      <c r="B550" s="35" t="s">
        <v>1743</v>
      </c>
      <c r="C550" s="3" t="s">
        <v>857</v>
      </c>
      <c r="D550" s="20" t="s">
        <v>2460</v>
      </c>
    </row>
    <row r="551" spans="2:4" x14ac:dyDescent="0.2">
      <c r="B551" s="35" t="s">
        <v>1744</v>
      </c>
      <c r="C551" s="3" t="s">
        <v>220</v>
      </c>
      <c r="D551" s="20" t="s">
        <v>2460</v>
      </c>
    </row>
    <row r="552" spans="2:4" x14ac:dyDescent="0.2">
      <c r="B552" s="35" t="s">
        <v>1745</v>
      </c>
      <c r="C552" s="3" t="s">
        <v>858</v>
      </c>
      <c r="D552" s="20" t="s">
        <v>2460</v>
      </c>
    </row>
    <row r="553" spans="2:4" x14ac:dyDescent="0.2">
      <c r="B553" s="35" t="s">
        <v>2701</v>
      </c>
      <c r="C553" s="3" t="s">
        <v>72</v>
      </c>
      <c r="D553" s="20" t="s">
        <v>2460</v>
      </c>
    </row>
    <row r="554" spans="2:4" x14ac:dyDescent="0.2">
      <c r="B554" s="35" t="s">
        <v>1746</v>
      </c>
      <c r="C554" s="3" t="s">
        <v>202</v>
      </c>
      <c r="D554" s="20" t="s">
        <v>2460</v>
      </c>
    </row>
    <row r="555" spans="2:4" x14ac:dyDescent="0.2">
      <c r="B555" s="35" t="s">
        <v>1747</v>
      </c>
      <c r="C555" s="71" t="s">
        <v>363</v>
      </c>
      <c r="D555" s="20" t="s">
        <v>2458</v>
      </c>
    </row>
    <row r="556" spans="2:4" x14ac:dyDescent="0.2">
      <c r="B556" s="35" t="s">
        <v>1748</v>
      </c>
      <c r="C556" s="3" t="s">
        <v>364</v>
      </c>
      <c r="D556" s="20" t="s">
        <v>2460</v>
      </c>
    </row>
    <row r="557" spans="2:4" x14ac:dyDescent="0.2">
      <c r="B557" s="35" t="s">
        <v>1749</v>
      </c>
      <c r="C557" s="3" t="s">
        <v>859</v>
      </c>
      <c r="D557" s="20" t="s">
        <v>2460</v>
      </c>
    </row>
    <row r="558" spans="2:4" x14ac:dyDescent="0.2">
      <c r="B558" s="35" t="s">
        <v>1750</v>
      </c>
      <c r="C558" s="71" t="s">
        <v>860</v>
      </c>
      <c r="D558" s="20" t="s">
        <v>2458</v>
      </c>
    </row>
    <row r="559" spans="2:4" x14ac:dyDescent="0.2">
      <c r="B559" s="35" t="s">
        <v>1751</v>
      </c>
      <c r="C559" s="3" t="s">
        <v>365</v>
      </c>
      <c r="D559" s="20" t="s">
        <v>2460</v>
      </c>
    </row>
    <row r="560" spans="2:4" x14ac:dyDescent="0.2">
      <c r="B560" s="35" t="s">
        <v>1752</v>
      </c>
      <c r="C560" s="3" t="s">
        <v>861</v>
      </c>
      <c r="D560" s="20" t="s">
        <v>2460</v>
      </c>
    </row>
    <row r="561" spans="2:4" x14ac:dyDescent="0.2">
      <c r="B561" s="35" t="s">
        <v>1753</v>
      </c>
      <c r="C561" s="81" t="s">
        <v>862</v>
      </c>
      <c r="D561" s="20" t="s">
        <v>2463</v>
      </c>
    </row>
    <row r="562" spans="2:4" x14ac:dyDescent="0.2">
      <c r="B562" s="35" t="s">
        <v>1754</v>
      </c>
      <c r="C562" s="80" t="s">
        <v>863</v>
      </c>
      <c r="D562" s="20" t="s">
        <v>2459</v>
      </c>
    </row>
    <row r="563" spans="2:4" x14ac:dyDescent="0.2">
      <c r="B563" s="35" t="s">
        <v>1755</v>
      </c>
      <c r="C563" s="3" t="s">
        <v>864</v>
      </c>
      <c r="D563" s="20" t="s">
        <v>2460</v>
      </c>
    </row>
    <row r="564" spans="2:4" x14ac:dyDescent="0.2">
      <c r="B564" s="35" t="s">
        <v>1756</v>
      </c>
      <c r="C564" s="2" t="s">
        <v>865</v>
      </c>
      <c r="D564" s="20" t="s">
        <v>2460</v>
      </c>
    </row>
    <row r="565" spans="2:4" x14ac:dyDescent="0.2">
      <c r="B565" s="35" t="s">
        <v>1757</v>
      </c>
      <c r="C565" s="76" t="s">
        <v>866</v>
      </c>
      <c r="D565" s="20" t="s">
        <v>2463</v>
      </c>
    </row>
    <row r="566" spans="2:4" x14ac:dyDescent="0.2">
      <c r="B566" s="35" t="s">
        <v>1758</v>
      </c>
      <c r="C566" s="3" t="s">
        <v>867</v>
      </c>
      <c r="D566" s="20" t="s">
        <v>2460</v>
      </c>
    </row>
    <row r="567" spans="2:4" x14ac:dyDescent="0.2">
      <c r="B567" s="35" t="s">
        <v>1759</v>
      </c>
      <c r="C567" s="3" t="s">
        <v>868</v>
      </c>
      <c r="D567" s="20" t="s">
        <v>2460</v>
      </c>
    </row>
    <row r="568" spans="2:4" x14ac:dyDescent="0.2">
      <c r="B568" s="35" t="s">
        <v>1760</v>
      </c>
      <c r="C568" s="71" t="s">
        <v>869</v>
      </c>
      <c r="D568" s="20" t="s">
        <v>2458</v>
      </c>
    </row>
    <row r="569" spans="2:4" x14ac:dyDescent="0.2">
      <c r="B569" s="35" t="s">
        <v>1761</v>
      </c>
      <c r="C569" s="71" t="s">
        <v>870</v>
      </c>
      <c r="D569" s="20" t="s">
        <v>2458</v>
      </c>
    </row>
    <row r="570" spans="2:4" x14ac:dyDescent="0.2">
      <c r="B570" s="35" t="s">
        <v>1762</v>
      </c>
      <c r="C570" s="71" t="s">
        <v>871</v>
      </c>
      <c r="D570" s="20" t="s">
        <v>2458</v>
      </c>
    </row>
    <row r="571" spans="2:4" x14ac:dyDescent="0.2">
      <c r="B571" s="35" t="s">
        <v>1763</v>
      </c>
      <c r="C571" s="71" t="s">
        <v>872</v>
      </c>
      <c r="D571" s="20" t="s">
        <v>2458</v>
      </c>
    </row>
    <row r="572" spans="2:4" x14ac:dyDescent="0.2">
      <c r="B572" s="35" t="s">
        <v>1764</v>
      </c>
      <c r="C572" s="71" t="s">
        <v>873</v>
      </c>
      <c r="D572" s="20" t="s">
        <v>2458</v>
      </c>
    </row>
    <row r="573" spans="2:4" x14ac:dyDescent="0.2">
      <c r="B573" s="35" t="s">
        <v>1765</v>
      </c>
      <c r="C573" s="71" t="s">
        <v>874</v>
      </c>
      <c r="D573" s="20" t="s">
        <v>2458</v>
      </c>
    </row>
    <row r="574" spans="2:4" x14ac:dyDescent="0.2">
      <c r="B574" s="35" t="s">
        <v>2702</v>
      </c>
      <c r="C574" s="71" t="s">
        <v>875</v>
      </c>
      <c r="D574" s="20" t="s">
        <v>2458</v>
      </c>
    </row>
    <row r="575" spans="2:4" x14ac:dyDescent="0.2">
      <c r="B575" s="35" t="s">
        <v>1766</v>
      </c>
      <c r="C575" s="77" t="s">
        <v>876</v>
      </c>
      <c r="D575" s="20" t="s">
        <v>2463</v>
      </c>
    </row>
    <row r="576" spans="2:4" x14ac:dyDescent="0.2">
      <c r="B576" s="35" t="s">
        <v>1767</v>
      </c>
      <c r="C576" s="77" t="s">
        <v>877</v>
      </c>
      <c r="D576" s="20" t="s">
        <v>2463</v>
      </c>
    </row>
    <row r="577" spans="2:4" x14ac:dyDescent="0.2">
      <c r="B577" s="35" t="s">
        <v>2703</v>
      </c>
      <c r="C577" s="77" t="s">
        <v>2704</v>
      </c>
      <c r="D577" s="20" t="s">
        <v>2463</v>
      </c>
    </row>
    <row r="578" spans="2:4" x14ac:dyDescent="0.2">
      <c r="B578" s="35" t="s">
        <v>1768</v>
      </c>
      <c r="C578" s="80" t="s">
        <v>366</v>
      </c>
      <c r="D578" s="20" t="s">
        <v>2459</v>
      </c>
    </row>
    <row r="579" spans="2:4" x14ac:dyDescent="0.2">
      <c r="B579" s="35" t="s">
        <v>2705</v>
      </c>
      <c r="C579" s="71" t="s">
        <v>878</v>
      </c>
      <c r="D579" s="20" t="s">
        <v>2458</v>
      </c>
    </row>
    <row r="580" spans="2:4" x14ac:dyDescent="0.2">
      <c r="B580" s="35" t="s">
        <v>1769</v>
      </c>
      <c r="C580" s="3" t="s">
        <v>367</v>
      </c>
      <c r="D580" s="20" t="s">
        <v>2460</v>
      </c>
    </row>
    <row r="581" spans="2:4" x14ac:dyDescent="0.2">
      <c r="B581" s="35" t="s">
        <v>1770</v>
      </c>
      <c r="C581" s="80" t="s">
        <v>879</v>
      </c>
      <c r="D581" s="20" t="s">
        <v>2459</v>
      </c>
    </row>
    <row r="582" spans="2:4" x14ac:dyDescent="0.2">
      <c r="B582" s="35" t="s">
        <v>1771</v>
      </c>
      <c r="C582" s="65" t="s">
        <v>880</v>
      </c>
      <c r="D582" s="20" t="s">
        <v>2463</v>
      </c>
    </row>
    <row r="583" spans="2:4" x14ac:dyDescent="0.2">
      <c r="B583" s="35" t="s">
        <v>1772</v>
      </c>
      <c r="C583" s="80" t="s">
        <v>881</v>
      </c>
      <c r="D583" s="20" t="s">
        <v>2459</v>
      </c>
    </row>
    <row r="584" spans="2:4" x14ac:dyDescent="0.2">
      <c r="B584" s="35" t="s">
        <v>1773</v>
      </c>
      <c r="C584" s="80" t="s">
        <v>882</v>
      </c>
      <c r="D584" s="20" t="s">
        <v>2459</v>
      </c>
    </row>
    <row r="585" spans="2:4" x14ac:dyDescent="0.2">
      <c r="B585" s="35" t="s">
        <v>1774</v>
      </c>
      <c r="C585" s="80" t="s">
        <v>883</v>
      </c>
      <c r="D585" s="20" t="s">
        <v>2459</v>
      </c>
    </row>
    <row r="586" spans="2:4" x14ac:dyDescent="0.2">
      <c r="B586" s="35" t="s">
        <v>1775</v>
      </c>
      <c r="C586" s="3" t="s">
        <v>884</v>
      </c>
      <c r="D586" s="20" t="s">
        <v>2460</v>
      </c>
    </row>
    <row r="587" spans="2:4" x14ac:dyDescent="0.2">
      <c r="B587" s="35" t="s">
        <v>2706</v>
      </c>
      <c r="C587" s="3" t="s">
        <v>2707</v>
      </c>
      <c r="D587" s="20" t="s">
        <v>175</v>
      </c>
    </row>
    <row r="588" spans="2:4" x14ac:dyDescent="0.2">
      <c r="B588" s="35" t="s">
        <v>1776</v>
      </c>
      <c r="C588" s="65" t="s">
        <v>249</v>
      </c>
      <c r="D588" s="20" t="s">
        <v>2463</v>
      </c>
    </row>
    <row r="589" spans="2:4" x14ac:dyDescent="0.2">
      <c r="B589" s="35" t="s">
        <v>1777</v>
      </c>
      <c r="C589" s="3" t="s">
        <v>233</v>
      </c>
      <c r="D589" s="20" t="s">
        <v>175</v>
      </c>
    </row>
    <row r="590" spans="2:4" x14ac:dyDescent="0.2">
      <c r="B590" s="35" t="s">
        <v>1778</v>
      </c>
      <c r="C590" s="68" t="s">
        <v>885</v>
      </c>
      <c r="D590" s="20" t="s">
        <v>2463</v>
      </c>
    </row>
    <row r="591" spans="2:4" x14ac:dyDescent="0.2">
      <c r="B591" s="35" t="s">
        <v>1779</v>
      </c>
      <c r="C591" s="3" t="s">
        <v>886</v>
      </c>
      <c r="D591" s="20" t="s">
        <v>2460</v>
      </c>
    </row>
    <row r="592" spans="2:4" x14ac:dyDescent="0.2">
      <c r="B592" s="35" t="s">
        <v>1780</v>
      </c>
      <c r="C592" s="71" t="s">
        <v>368</v>
      </c>
      <c r="D592" s="20" t="s">
        <v>2458</v>
      </c>
    </row>
    <row r="593" spans="2:4" x14ac:dyDescent="0.2">
      <c r="B593" s="35" t="s">
        <v>1781</v>
      </c>
      <c r="C593" s="80" t="s">
        <v>162</v>
      </c>
      <c r="D593" s="20" t="s">
        <v>2459</v>
      </c>
    </row>
    <row r="594" spans="2:4" x14ac:dyDescent="0.2">
      <c r="B594" s="35" t="s">
        <v>1782</v>
      </c>
      <c r="C594" s="80" t="s">
        <v>887</v>
      </c>
      <c r="D594" s="20" t="s">
        <v>2459</v>
      </c>
    </row>
    <row r="595" spans="2:4" x14ac:dyDescent="0.2">
      <c r="B595" s="35" t="s">
        <v>1783</v>
      </c>
      <c r="C595" s="80" t="s">
        <v>888</v>
      </c>
      <c r="D595" s="20" t="s">
        <v>2459</v>
      </c>
    </row>
    <row r="596" spans="2:4" x14ac:dyDescent="0.2">
      <c r="B596" s="35" t="s">
        <v>1784</v>
      </c>
      <c r="C596" s="80" t="s">
        <v>889</v>
      </c>
      <c r="D596" s="20" t="s">
        <v>2459</v>
      </c>
    </row>
    <row r="597" spans="2:4" x14ac:dyDescent="0.2">
      <c r="B597" s="35" t="s">
        <v>2708</v>
      </c>
      <c r="C597" s="3" t="s">
        <v>890</v>
      </c>
      <c r="D597" s="20" t="s">
        <v>175</v>
      </c>
    </row>
    <row r="598" spans="2:4" x14ac:dyDescent="0.2">
      <c r="B598" s="35" t="s">
        <v>1785</v>
      </c>
      <c r="C598" s="71" t="s">
        <v>891</v>
      </c>
      <c r="D598" s="20" t="s">
        <v>2458</v>
      </c>
    </row>
    <row r="599" spans="2:4" x14ac:dyDescent="0.2">
      <c r="B599" s="35" t="s">
        <v>1786</v>
      </c>
      <c r="C599" s="80" t="s">
        <v>163</v>
      </c>
      <c r="D599" s="20" t="s">
        <v>2459</v>
      </c>
    </row>
    <row r="600" spans="2:4" x14ac:dyDescent="0.2">
      <c r="B600" s="35" t="s">
        <v>1787</v>
      </c>
      <c r="C600" s="80" t="s">
        <v>892</v>
      </c>
      <c r="D600" s="20" t="s">
        <v>2459</v>
      </c>
    </row>
    <row r="601" spans="2:4" x14ac:dyDescent="0.2">
      <c r="B601" s="35" t="s">
        <v>1788</v>
      </c>
      <c r="C601" s="77" t="s">
        <v>893</v>
      </c>
      <c r="D601" s="20" t="s">
        <v>2463</v>
      </c>
    </row>
    <row r="602" spans="2:4" x14ac:dyDescent="0.2">
      <c r="B602" s="35" t="s">
        <v>2709</v>
      </c>
      <c r="C602" s="65" t="s">
        <v>894</v>
      </c>
      <c r="D602" s="20" t="s">
        <v>2463</v>
      </c>
    </row>
    <row r="603" spans="2:4" x14ac:dyDescent="0.2">
      <c r="B603" s="35" t="s">
        <v>1789</v>
      </c>
      <c r="C603" s="77" t="s">
        <v>895</v>
      </c>
      <c r="D603" s="20" t="s">
        <v>2462</v>
      </c>
    </row>
    <row r="604" spans="2:4" x14ac:dyDescent="0.2">
      <c r="B604" s="35" t="s">
        <v>1790</v>
      </c>
      <c r="C604" s="80" t="s">
        <v>896</v>
      </c>
      <c r="D604" s="20" t="s">
        <v>2459</v>
      </c>
    </row>
    <row r="605" spans="2:4" x14ac:dyDescent="0.2">
      <c r="B605" s="35" t="s">
        <v>1791</v>
      </c>
      <c r="C605" s="81" t="s">
        <v>897</v>
      </c>
      <c r="D605" s="20" t="s">
        <v>2462</v>
      </c>
    </row>
    <row r="606" spans="2:4" x14ac:dyDescent="0.2">
      <c r="B606" s="35" t="s">
        <v>1792</v>
      </c>
      <c r="C606" s="80" t="s">
        <v>898</v>
      </c>
      <c r="D606" s="20" t="s">
        <v>2459</v>
      </c>
    </row>
    <row r="607" spans="2:4" x14ac:dyDescent="0.2">
      <c r="B607" s="35" t="s">
        <v>1793</v>
      </c>
      <c r="C607" s="80" t="s">
        <v>899</v>
      </c>
      <c r="D607" s="20" t="s">
        <v>2459</v>
      </c>
    </row>
    <row r="608" spans="2:4" x14ac:dyDescent="0.2">
      <c r="B608" s="35" t="s">
        <v>1794</v>
      </c>
      <c r="C608" s="80" t="s">
        <v>900</v>
      </c>
      <c r="D608" s="20" t="s">
        <v>2459</v>
      </c>
    </row>
    <row r="609" spans="2:4" x14ac:dyDescent="0.2">
      <c r="B609" s="35" t="s">
        <v>1795</v>
      </c>
      <c r="C609" s="80" t="s">
        <v>901</v>
      </c>
      <c r="D609" s="20" t="s">
        <v>2459</v>
      </c>
    </row>
    <row r="610" spans="2:4" x14ac:dyDescent="0.2">
      <c r="B610" s="35" t="s">
        <v>1796</v>
      </c>
      <c r="C610" s="71" t="s">
        <v>902</v>
      </c>
      <c r="D610" s="20" t="s">
        <v>2458</v>
      </c>
    </row>
    <row r="611" spans="2:4" x14ac:dyDescent="0.2">
      <c r="B611" s="35" t="s">
        <v>1797</v>
      </c>
      <c r="C611" s="71" t="s">
        <v>903</v>
      </c>
      <c r="D611" s="20" t="s">
        <v>2458</v>
      </c>
    </row>
    <row r="612" spans="2:4" x14ac:dyDescent="0.2">
      <c r="B612" s="35" t="s">
        <v>1798</v>
      </c>
      <c r="C612" s="70" t="s">
        <v>369</v>
      </c>
      <c r="D612" s="20" t="s">
        <v>2458</v>
      </c>
    </row>
    <row r="613" spans="2:4" x14ac:dyDescent="0.2">
      <c r="B613" s="35" t="s">
        <v>1799</v>
      </c>
      <c r="C613" s="71" t="s">
        <v>904</v>
      </c>
      <c r="D613" s="20" t="s">
        <v>2458</v>
      </c>
    </row>
    <row r="614" spans="2:4" x14ac:dyDescent="0.2">
      <c r="B614" s="35" t="s">
        <v>1800</v>
      </c>
      <c r="C614" s="71" t="s">
        <v>370</v>
      </c>
      <c r="D614" s="20" t="s">
        <v>2458</v>
      </c>
    </row>
    <row r="615" spans="2:4" x14ac:dyDescent="0.2">
      <c r="B615" s="35" t="s">
        <v>1801</v>
      </c>
      <c r="C615" s="71" t="s">
        <v>905</v>
      </c>
      <c r="D615" s="20" t="s">
        <v>2458</v>
      </c>
    </row>
    <row r="616" spans="2:4" x14ac:dyDescent="0.2">
      <c r="B616" s="35" t="s">
        <v>1802</v>
      </c>
      <c r="C616" s="71" t="s">
        <v>906</v>
      </c>
      <c r="D616" s="20" t="s">
        <v>2458</v>
      </c>
    </row>
    <row r="617" spans="2:4" x14ac:dyDescent="0.2">
      <c r="B617" s="35" t="s">
        <v>1803</v>
      </c>
      <c r="C617" s="71" t="s">
        <v>371</v>
      </c>
      <c r="D617" s="20" t="s">
        <v>2458</v>
      </c>
    </row>
    <row r="618" spans="2:4" x14ac:dyDescent="0.2">
      <c r="B618" s="35" t="s">
        <v>1804</v>
      </c>
      <c r="C618" s="71" t="s">
        <v>164</v>
      </c>
      <c r="D618" s="20" t="s">
        <v>2458</v>
      </c>
    </row>
    <row r="619" spans="2:4" x14ac:dyDescent="0.2">
      <c r="B619" s="35" t="s">
        <v>2710</v>
      </c>
      <c r="C619" s="71" t="s">
        <v>907</v>
      </c>
      <c r="D619" s="20" t="s">
        <v>2458</v>
      </c>
    </row>
    <row r="620" spans="2:4" x14ac:dyDescent="0.2">
      <c r="B620" s="35" t="s">
        <v>1805</v>
      </c>
      <c r="C620" s="2" t="s">
        <v>908</v>
      </c>
      <c r="D620" s="20" t="s">
        <v>2460</v>
      </c>
    </row>
    <row r="621" spans="2:4" x14ac:dyDescent="0.2">
      <c r="B621" s="35" t="s">
        <v>1806</v>
      </c>
      <c r="C621" s="80" t="s">
        <v>909</v>
      </c>
      <c r="D621" s="20" t="s">
        <v>2459</v>
      </c>
    </row>
    <row r="622" spans="2:4" x14ac:dyDescent="0.2">
      <c r="B622" s="35" t="s">
        <v>1807</v>
      </c>
      <c r="C622" s="80" t="s">
        <v>910</v>
      </c>
      <c r="D622" s="20" t="s">
        <v>2459</v>
      </c>
    </row>
    <row r="623" spans="2:4" x14ac:dyDescent="0.2">
      <c r="B623" s="35" t="s">
        <v>1808</v>
      </c>
      <c r="C623" s="80" t="s">
        <v>911</v>
      </c>
      <c r="D623" s="20" t="s">
        <v>2459</v>
      </c>
    </row>
    <row r="624" spans="2:4" x14ac:dyDescent="0.2">
      <c r="B624" s="35" t="s">
        <v>1809</v>
      </c>
      <c r="C624" s="80" t="s">
        <v>912</v>
      </c>
      <c r="D624" s="20" t="s">
        <v>2459</v>
      </c>
    </row>
    <row r="625" spans="2:4" x14ac:dyDescent="0.2">
      <c r="B625" s="35" t="s">
        <v>1810</v>
      </c>
      <c r="C625" s="71" t="s">
        <v>913</v>
      </c>
      <c r="D625" s="20" t="s">
        <v>2458</v>
      </c>
    </row>
    <row r="626" spans="2:4" x14ac:dyDescent="0.2">
      <c r="B626" s="35" t="s">
        <v>1811</v>
      </c>
      <c r="C626" s="80" t="s">
        <v>914</v>
      </c>
      <c r="D626" s="20" t="s">
        <v>2459</v>
      </c>
    </row>
    <row r="627" spans="2:4" x14ac:dyDescent="0.2">
      <c r="B627" s="35" t="s">
        <v>1812</v>
      </c>
      <c r="C627" s="3" t="s">
        <v>915</v>
      </c>
      <c r="D627" s="20" t="s">
        <v>2460</v>
      </c>
    </row>
    <row r="628" spans="2:4" x14ac:dyDescent="0.2">
      <c r="B628" s="35" t="s">
        <v>1813</v>
      </c>
      <c r="C628" s="71" t="s">
        <v>916</v>
      </c>
      <c r="D628" s="20" t="s">
        <v>2458</v>
      </c>
    </row>
    <row r="629" spans="2:4" x14ac:dyDescent="0.2">
      <c r="B629" s="35" t="s">
        <v>1814</v>
      </c>
      <c r="C629" s="80" t="s">
        <v>917</v>
      </c>
      <c r="D629" s="20" t="s">
        <v>2459</v>
      </c>
    </row>
    <row r="630" spans="2:4" x14ac:dyDescent="0.2">
      <c r="B630" s="35" t="s">
        <v>2711</v>
      </c>
      <c r="C630" s="3" t="s">
        <v>918</v>
      </c>
      <c r="D630" s="20" t="s">
        <v>175</v>
      </c>
    </row>
    <row r="631" spans="2:4" x14ac:dyDescent="0.2">
      <c r="B631" s="35" t="s">
        <v>1815</v>
      </c>
      <c r="C631" s="71" t="s">
        <v>919</v>
      </c>
      <c r="D631" s="20" t="s">
        <v>2458</v>
      </c>
    </row>
    <row r="632" spans="2:4" x14ac:dyDescent="0.2">
      <c r="B632" s="35" t="s">
        <v>1816</v>
      </c>
      <c r="C632" s="3" t="s">
        <v>920</v>
      </c>
      <c r="D632" s="20" t="s">
        <v>2460</v>
      </c>
    </row>
    <row r="633" spans="2:4" x14ac:dyDescent="0.2">
      <c r="B633" s="35" t="s">
        <v>1817</v>
      </c>
      <c r="C633" s="3" t="s">
        <v>921</v>
      </c>
      <c r="D633" s="20" t="s">
        <v>2460</v>
      </c>
    </row>
    <row r="634" spans="2:4" x14ac:dyDescent="0.2">
      <c r="B634" s="35" t="s">
        <v>1818</v>
      </c>
      <c r="C634" s="3" t="s">
        <v>922</v>
      </c>
      <c r="D634" s="20" t="s">
        <v>2460</v>
      </c>
    </row>
    <row r="635" spans="2:4" x14ac:dyDescent="0.2">
      <c r="B635" s="35" t="s">
        <v>1820</v>
      </c>
      <c r="C635" s="75" t="s">
        <v>1819</v>
      </c>
      <c r="D635" s="20" t="s">
        <v>2462</v>
      </c>
    </row>
    <row r="636" spans="2:4" x14ac:dyDescent="0.2">
      <c r="B636" s="35" t="s">
        <v>1821</v>
      </c>
      <c r="C636" s="75" t="s">
        <v>923</v>
      </c>
      <c r="D636" s="20" t="s">
        <v>2461</v>
      </c>
    </row>
    <row r="637" spans="2:4" x14ac:dyDescent="0.2">
      <c r="B637" s="35" t="s">
        <v>1822</v>
      </c>
      <c r="C637" s="99" t="s">
        <v>372</v>
      </c>
      <c r="D637" s="20" t="s">
        <v>2462</v>
      </c>
    </row>
    <row r="638" spans="2:4" x14ac:dyDescent="0.2">
      <c r="B638" s="35" t="s">
        <v>1823</v>
      </c>
      <c r="C638" s="80" t="s">
        <v>924</v>
      </c>
      <c r="D638" s="20" t="s">
        <v>2459</v>
      </c>
    </row>
    <row r="639" spans="2:4" x14ac:dyDescent="0.2">
      <c r="B639" s="35" t="s">
        <v>1824</v>
      </c>
      <c r="C639" s="80" t="s">
        <v>925</v>
      </c>
      <c r="D639" s="20" t="s">
        <v>2459</v>
      </c>
    </row>
    <row r="640" spans="2:4" x14ac:dyDescent="0.2">
      <c r="B640" s="35" t="s">
        <v>1825</v>
      </c>
      <c r="C640" s="80" t="s">
        <v>926</v>
      </c>
      <c r="D640" s="20" t="s">
        <v>2459</v>
      </c>
    </row>
    <row r="641" spans="2:4" x14ac:dyDescent="0.2">
      <c r="B641" s="35" t="s">
        <v>1826</v>
      </c>
      <c r="C641" s="3" t="s">
        <v>927</v>
      </c>
      <c r="D641" s="20" t="s">
        <v>2460</v>
      </c>
    </row>
    <row r="642" spans="2:4" x14ac:dyDescent="0.2">
      <c r="B642" s="35" t="s">
        <v>1827</v>
      </c>
      <c r="C642" s="3" t="s">
        <v>928</v>
      </c>
      <c r="D642" s="20" t="s">
        <v>2460</v>
      </c>
    </row>
    <row r="643" spans="2:4" x14ac:dyDescent="0.2">
      <c r="B643" s="35" t="s">
        <v>1828</v>
      </c>
      <c r="C643" s="80" t="s">
        <v>929</v>
      </c>
      <c r="D643" s="20" t="s">
        <v>2459</v>
      </c>
    </row>
    <row r="644" spans="2:4" x14ac:dyDescent="0.2">
      <c r="B644" s="35" t="s">
        <v>1829</v>
      </c>
      <c r="C644" s="80" t="s">
        <v>930</v>
      </c>
      <c r="D644" s="20" t="s">
        <v>2459</v>
      </c>
    </row>
    <row r="645" spans="2:4" x14ac:dyDescent="0.2">
      <c r="B645" s="35" t="s">
        <v>2712</v>
      </c>
      <c r="C645" s="3" t="s">
        <v>931</v>
      </c>
      <c r="D645" s="20" t="s">
        <v>175</v>
      </c>
    </row>
    <row r="646" spans="2:4" x14ac:dyDescent="0.2">
      <c r="B646" s="35" t="s">
        <v>1830</v>
      </c>
      <c r="C646" s="80" t="s">
        <v>932</v>
      </c>
      <c r="D646" s="20" t="s">
        <v>2459</v>
      </c>
    </row>
    <row r="647" spans="2:4" x14ac:dyDescent="0.2">
      <c r="B647" s="35" t="s">
        <v>1831</v>
      </c>
      <c r="C647" s="78" t="s">
        <v>933</v>
      </c>
      <c r="D647" s="20" t="s">
        <v>2459</v>
      </c>
    </row>
    <row r="648" spans="2:4" x14ac:dyDescent="0.2">
      <c r="B648" s="35" t="s">
        <v>1830</v>
      </c>
      <c r="C648" s="80" t="s">
        <v>934</v>
      </c>
      <c r="D648" s="20" t="s">
        <v>2459</v>
      </c>
    </row>
    <row r="649" spans="2:4" x14ac:dyDescent="0.2">
      <c r="B649" s="35" t="s">
        <v>1832</v>
      </c>
      <c r="C649" s="65" t="s">
        <v>73</v>
      </c>
      <c r="D649" s="20" t="s">
        <v>2462</v>
      </c>
    </row>
    <row r="650" spans="2:4" x14ac:dyDescent="0.2">
      <c r="B650" s="35" t="s">
        <v>1833</v>
      </c>
      <c r="C650" s="71" t="s">
        <v>935</v>
      </c>
      <c r="D650" s="20" t="s">
        <v>2458</v>
      </c>
    </row>
    <row r="651" spans="2:4" x14ac:dyDescent="0.2">
      <c r="B651" s="35" t="s">
        <v>1834</v>
      </c>
      <c r="C651" s="80" t="s">
        <v>936</v>
      </c>
      <c r="D651" s="20" t="s">
        <v>2459</v>
      </c>
    </row>
    <row r="652" spans="2:4" x14ac:dyDescent="0.2">
      <c r="B652" s="35" t="s">
        <v>1835</v>
      </c>
      <c r="C652" s="75" t="s">
        <v>937</v>
      </c>
      <c r="D652" s="20" t="s">
        <v>2463</v>
      </c>
    </row>
    <row r="653" spans="2:4" x14ac:dyDescent="0.2">
      <c r="B653" s="35" t="s">
        <v>1836</v>
      </c>
      <c r="C653" s="75" t="s">
        <v>373</v>
      </c>
      <c r="D653" s="20" t="s">
        <v>2463</v>
      </c>
    </row>
    <row r="654" spans="2:4" x14ac:dyDescent="0.2">
      <c r="B654" s="35" t="s">
        <v>1837</v>
      </c>
      <c r="C654" s="80" t="s">
        <v>938</v>
      </c>
      <c r="D654" s="20" t="s">
        <v>2459</v>
      </c>
    </row>
    <row r="655" spans="2:4" x14ac:dyDescent="0.2">
      <c r="B655" s="35" t="s">
        <v>1838</v>
      </c>
      <c r="C655" s="80" t="s">
        <v>939</v>
      </c>
      <c r="D655" s="20" t="s">
        <v>2459</v>
      </c>
    </row>
    <row r="656" spans="2:4" x14ac:dyDescent="0.2">
      <c r="B656" s="35" t="s">
        <v>1839</v>
      </c>
      <c r="C656" s="80" t="s">
        <v>940</v>
      </c>
      <c r="D656" s="20" t="s">
        <v>2459</v>
      </c>
    </row>
    <row r="657" spans="2:4" x14ac:dyDescent="0.2">
      <c r="B657" s="35" t="s">
        <v>1840</v>
      </c>
      <c r="C657" s="71" t="s">
        <v>941</v>
      </c>
      <c r="D657" s="20" t="s">
        <v>2458</v>
      </c>
    </row>
    <row r="658" spans="2:4" x14ac:dyDescent="0.2">
      <c r="B658" s="35" t="s">
        <v>1841</v>
      </c>
      <c r="C658" s="80" t="s">
        <v>942</v>
      </c>
      <c r="D658" s="20" t="s">
        <v>2459</v>
      </c>
    </row>
    <row r="659" spans="2:4" x14ac:dyDescent="0.2">
      <c r="B659" s="35" t="s">
        <v>1842</v>
      </c>
      <c r="C659" s="71" t="s">
        <v>374</v>
      </c>
      <c r="D659" s="20" t="s">
        <v>2458</v>
      </c>
    </row>
    <row r="660" spans="2:4" x14ac:dyDescent="0.2">
      <c r="B660" s="35" t="s">
        <v>1843</v>
      </c>
      <c r="C660" s="80" t="s">
        <v>943</v>
      </c>
      <c r="D660" s="20" t="s">
        <v>2459</v>
      </c>
    </row>
    <row r="661" spans="2:4" x14ac:dyDescent="0.2">
      <c r="B661" s="35" t="s">
        <v>1844</v>
      </c>
      <c r="C661" s="3" t="s">
        <v>165</v>
      </c>
      <c r="D661" s="20" t="s">
        <v>2460</v>
      </c>
    </row>
    <row r="662" spans="2:4" x14ac:dyDescent="0.2">
      <c r="B662" s="35" t="s">
        <v>1845</v>
      </c>
      <c r="C662" s="3" t="s">
        <v>944</v>
      </c>
      <c r="D662" s="20" t="s">
        <v>2460</v>
      </c>
    </row>
    <row r="663" spans="2:4" x14ac:dyDescent="0.2">
      <c r="B663" s="35" t="s">
        <v>2713</v>
      </c>
      <c r="C663" s="3" t="s">
        <v>945</v>
      </c>
      <c r="D663" s="20" t="s">
        <v>175</v>
      </c>
    </row>
    <row r="664" spans="2:4" x14ac:dyDescent="0.2">
      <c r="B664" s="35" t="s">
        <v>1846</v>
      </c>
      <c r="C664" s="80" t="s">
        <v>946</v>
      </c>
      <c r="D664" s="20" t="s">
        <v>2459</v>
      </c>
    </row>
    <row r="665" spans="2:4" x14ac:dyDescent="0.2">
      <c r="B665" s="35" t="s">
        <v>1847</v>
      </c>
      <c r="C665" s="3" t="s">
        <v>947</v>
      </c>
      <c r="D665" s="20" t="s">
        <v>2460</v>
      </c>
    </row>
    <row r="666" spans="2:4" x14ac:dyDescent="0.2">
      <c r="B666" s="35" t="s">
        <v>1848</v>
      </c>
      <c r="C666" s="65" t="s">
        <v>948</v>
      </c>
      <c r="D666" s="20" t="s">
        <v>2461</v>
      </c>
    </row>
    <row r="667" spans="2:4" x14ac:dyDescent="0.2">
      <c r="B667" s="35" t="s">
        <v>1850</v>
      </c>
      <c r="C667" s="80" t="s">
        <v>949</v>
      </c>
      <c r="D667" s="20" t="s">
        <v>2459</v>
      </c>
    </row>
    <row r="668" spans="2:4" x14ac:dyDescent="0.2">
      <c r="B668" s="35" t="s">
        <v>1849</v>
      </c>
      <c r="C668" s="71" t="s">
        <v>950</v>
      </c>
      <c r="D668" s="20" t="s">
        <v>2458</v>
      </c>
    </row>
    <row r="669" spans="2:4" x14ac:dyDescent="0.2">
      <c r="B669" s="35" t="s">
        <v>1851</v>
      </c>
      <c r="C669" s="65" t="s">
        <v>74</v>
      </c>
      <c r="D669" s="20" t="s">
        <v>2461</v>
      </c>
    </row>
    <row r="670" spans="2:4" x14ac:dyDescent="0.2">
      <c r="B670" s="35" t="s">
        <v>1852</v>
      </c>
      <c r="C670" s="65" t="s">
        <v>75</v>
      </c>
      <c r="D670" s="20" t="s">
        <v>2463</v>
      </c>
    </row>
    <row r="671" spans="2:4" x14ac:dyDescent="0.2">
      <c r="B671" s="35" t="s">
        <v>1853</v>
      </c>
      <c r="C671" s="65" t="s">
        <v>76</v>
      </c>
      <c r="D671" s="20" t="s">
        <v>2462</v>
      </c>
    </row>
    <row r="672" spans="2:4" x14ac:dyDescent="0.2">
      <c r="B672" s="35" t="s">
        <v>1854</v>
      </c>
      <c r="C672" s="71" t="s">
        <v>951</v>
      </c>
      <c r="D672" s="20" t="s">
        <v>2458</v>
      </c>
    </row>
    <row r="673" spans="2:4" x14ac:dyDescent="0.2">
      <c r="B673" s="35" t="s">
        <v>1855</v>
      </c>
      <c r="C673" s="3" t="s">
        <v>952</v>
      </c>
      <c r="D673" s="20" t="s">
        <v>2460</v>
      </c>
    </row>
    <row r="674" spans="2:4" x14ac:dyDescent="0.2">
      <c r="B674" s="35" t="s">
        <v>1856</v>
      </c>
      <c r="C674" s="80" t="s">
        <v>953</v>
      </c>
      <c r="D674" s="20" t="s">
        <v>2459</v>
      </c>
    </row>
    <row r="675" spans="2:4" x14ac:dyDescent="0.2">
      <c r="B675" s="35" t="s">
        <v>1857</v>
      </c>
      <c r="C675" s="80" t="s">
        <v>954</v>
      </c>
      <c r="D675" s="20" t="s">
        <v>2459</v>
      </c>
    </row>
    <row r="676" spans="2:4" x14ac:dyDescent="0.2">
      <c r="B676" s="35" t="s">
        <v>1858</v>
      </c>
      <c r="C676" s="80" t="s">
        <v>955</v>
      </c>
      <c r="D676" s="20" t="s">
        <v>2459</v>
      </c>
    </row>
    <row r="677" spans="2:4" x14ac:dyDescent="0.2">
      <c r="B677" s="35" t="s">
        <v>1859</v>
      </c>
      <c r="C677" s="80" t="s">
        <v>956</v>
      </c>
      <c r="D677" s="20" t="s">
        <v>2459</v>
      </c>
    </row>
    <row r="678" spans="2:4" x14ac:dyDescent="0.2">
      <c r="B678" s="35" t="s">
        <v>1860</v>
      </c>
      <c r="C678" s="78" t="s">
        <v>957</v>
      </c>
      <c r="D678" s="20" t="s">
        <v>2459</v>
      </c>
    </row>
    <row r="679" spans="2:4" x14ac:dyDescent="0.2">
      <c r="B679" s="35" t="s">
        <v>1861</v>
      </c>
      <c r="C679" s="80" t="s">
        <v>958</v>
      </c>
      <c r="D679" s="20" t="s">
        <v>2459</v>
      </c>
    </row>
    <row r="680" spans="2:4" x14ac:dyDescent="0.2">
      <c r="B680" s="35" t="s">
        <v>1862</v>
      </c>
      <c r="C680" s="70" t="s">
        <v>959</v>
      </c>
      <c r="D680" s="20" t="s">
        <v>2458</v>
      </c>
    </row>
    <row r="681" spans="2:4" x14ac:dyDescent="0.2">
      <c r="B681" s="35" t="s">
        <v>1863</v>
      </c>
      <c r="C681" s="71" t="s">
        <v>166</v>
      </c>
      <c r="D681" s="20" t="s">
        <v>2458</v>
      </c>
    </row>
    <row r="682" spans="2:4" x14ac:dyDescent="0.2">
      <c r="B682" s="35" t="s">
        <v>1864</v>
      </c>
      <c r="C682" s="80" t="s">
        <v>960</v>
      </c>
      <c r="D682" s="20" t="s">
        <v>2459</v>
      </c>
    </row>
    <row r="683" spans="2:4" x14ac:dyDescent="0.2">
      <c r="B683" s="35" t="s">
        <v>1865</v>
      </c>
      <c r="C683" s="80" t="s">
        <v>961</v>
      </c>
      <c r="D683" s="20" t="s">
        <v>2459</v>
      </c>
    </row>
    <row r="684" spans="2:4" x14ac:dyDescent="0.2">
      <c r="B684" s="35" t="s">
        <v>1866</v>
      </c>
      <c r="C684" s="65" t="s">
        <v>250</v>
      </c>
      <c r="D684" s="20" t="s">
        <v>2463</v>
      </c>
    </row>
    <row r="685" spans="2:4" x14ac:dyDescent="0.2">
      <c r="B685" s="35" t="s">
        <v>1867</v>
      </c>
      <c r="C685" s="3" t="s">
        <v>248</v>
      </c>
      <c r="D685" s="20" t="s">
        <v>175</v>
      </c>
    </row>
    <row r="686" spans="2:4" x14ac:dyDescent="0.2">
      <c r="B686" s="35" t="s">
        <v>2714</v>
      </c>
      <c r="C686" s="3" t="s">
        <v>2715</v>
      </c>
      <c r="D686" s="20" t="s">
        <v>175</v>
      </c>
    </row>
    <row r="687" spans="2:4" x14ac:dyDescent="0.2">
      <c r="B687" s="35" t="s">
        <v>1868</v>
      </c>
      <c r="C687" s="3" t="s">
        <v>962</v>
      </c>
      <c r="D687" s="20" t="s">
        <v>2460</v>
      </c>
    </row>
    <row r="688" spans="2:4" x14ac:dyDescent="0.2">
      <c r="B688" s="35" t="s">
        <v>1869</v>
      </c>
      <c r="C688" s="80" t="s">
        <v>375</v>
      </c>
      <c r="D688" s="20" t="s">
        <v>2459</v>
      </c>
    </row>
    <row r="689" spans="2:4" x14ac:dyDescent="0.2">
      <c r="B689" s="35" t="s">
        <v>1870</v>
      </c>
      <c r="C689" s="80" t="s">
        <v>963</v>
      </c>
      <c r="D689" s="20" t="s">
        <v>2459</v>
      </c>
    </row>
    <row r="690" spans="2:4" x14ac:dyDescent="0.2">
      <c r="B690" s="35" t="s">
        <v>1871</v>
      </c>
      <c r="C690" s="3" t="s">
        <v>376</v>
      </c>
      <c r="D690" s="20" t="s">
        <v>2460</v>
      </c>
    </row>
    <row r="691" spans="2:4" x14ac:dyDescent="0.2">
      <c r="B691" s="35" t="s">
        <v>1872</v>
      </c>
      <c r="C691" s="3" t="s">
        <v>964</v>
      </c>
      <c r="D691" s="20" t="s">
        <v>2460</v>
      </c>
    </row>
    <row r="692" spans="2:4" x14ac:dyDescent="0.2">
      <c r="B692" s="35" t="s">
        <v>1873</v>
      </c>
      <c r="C692" s="3" t="s">
        <v>965</v>
      </c>
      <c r="D692" s="20" t="s">
        <v>2460</v>
      </c>
    </row>
    <row r="693" spans="2:4" x14ac:dyDescent="0.2">
      <c r="B693" s="35" t="s">
        <v>1874</v>
      </c>
      <c r="C693" s="65" t="s">
        <v>239</v>
      </c>
      <c r="D693" s="20" t="s">
        <v>2463</v>
      </c>
    </row>
    <row r="694" spans="2:4" x14ac:dyDescent="0.2">
      <c r="B694" s="35" t="s">
        <v>1875</v>
      </c>
      <c r="C694" s="3" t="s">
        <v>232</v>
      </c>
      <c r="D694" s="20" t="s">
        <v>2460</v>
      </c>
    </row>
    <row r="695" spans="2:4" x14ac:dyDescent="0.2">
      <c r="B695" s="35" t="s">
        <v>1876</v>
      </c>
      <c r="C695" s="3" t="s">
        <v>203</v>
      </c>
      <c r="D695" s="20" t="s">
        <v>2460</v>
      </c>
    </row>
    <row r="696" spans="2:4" x14ac:dyDescent="0.2">
      <c r="B696" s="35" t="s">
        <v>1877</v>
      </c>
      <c r="C696" s="3" t="s">
        <v>966</v>
      </c>
      <c r="D696" s="20" t="s">
        <v>2460</v>
      </c>
    </row>
    <row r="697" spans="2:4" x14ac:dyDescent="0.2">
      <c r="B697" s="35" t="s">
        <v>1878</v>
      </c>
      <c r="C697" s="3" t="s">
        <v>967</v>
      </c>
      <c r="D697" s="20" t="s">
        <v>2460</v>
      </c>
    </row>
    <row r="698" spans="2:4" x14ac:dyDescent="0.2">
      <c r="B698" s="35" t="s">
        <v>1879</v>
      </c>
      <c r="C698" s="3" t="s">
        <v>968</v>
      </c>
      <c r="D698" s="20" t="s">
        <v>2460</v>
      </c>
    </row>
    <row r="699" spans="2:4" x14ac:dyDescent="0.2">
      <c r="B699" s="35" t="s">
        <v>1880</v>
      </c>
      <c r="C699" s="3" t="s">
        <v>969</v>
      </c>
      <c r="D699" s="20" t="s">
        <v>2460</v>
      </c>
    </row>
    <row r="700" spans="2:4" x14ac:dyDescent="0.2">
      <c r="B700" s="35" t="s">
        <v>1881</v>
      </c>
      <c r="C700" s="3" t="s">
        <v>377</v>
      </c>
      <c r="D700" s="20" t="s">
        <v>2460</v>
      </c>
    </row>
    <row r="701" spans="2:4" x14ac:dyDescent="0.2">
      <c r="B701" s="35" t="s">
        <v>2716</v>
      </c>
      <c r="C701" s="3" t="s">
        <v>2717</v>
      </c>
      <c r="D701" s="20" t="s">
        <v>175</v>
      </c>
    </row>
    <row r="702" spans="2:4" x14ac:dyDescent="0.2">
      <c r="B702" s="35" t="s">
        <v>1882</v>
      </c>
      <c r="C702" s="3" t="s">
        <v>970</v>
      </c>
      <c r="D702" s="20" t="s">
        <v>2460</v>
      </c>
    </row>
    <row r="703" spans="2:4" x14ac:dyDescent="0.2">
      <c r="B703" s="35" t="s">
        <v>1883</v>
      </c>
      <c r="C703" s="65" t="s">
        <v>247</v>
      </c>
      <c r="D703" s="20" t="s">
        <v>2463</v>
      </c>
    </row>
    <row r="704" spans="2:4" x14ac:dyDescent="0.2">
      <c r="B704" s="35" t="s">
        <v>1884</v>
      </c>
      <c r="C704" s="3" t="s">
        <v>246</v>
      </c>
      <c r="D704" s="20" t="s">
        <v>175</v>
      </c>
    </row>
    <row r="705" spans="2:4" x14ac:dyDescent="0.2">
      <c r="B705" s="35" t="s">
        <v>1885</v>
      </c>
      <c r="C705" s="80" t="s">
        <v>971</v>
      </c>
      <c r="D705" s="20" t="s">
        <v>2459</v>
      </c>
    </row>
    <row r="706" spans="2:4" x14ac:dyDescent="0.2">
      <c r="B706" s="35" t="s">
        <v>1886</v>
      </c>
      <c r="C706" s="3" t="s">
        <v>204</v>
      </c>
      <c r="D706" s="20" t="s">
        <v>2460</v>
      </c>
    </row>
    <row r="707" spans="2:4" x14ac:dyDescent="0.2">
      <c r="B707" s="35" t="s">
        <v>1887</v>
      </c>
      <c r="C707" s="3" t="s">
        <v>378</v>
      </c>
      <c r="D707" s="20" t="s">
        <v>2460</v>
      </c>
    </row>
    <row r="708" spans="2:4" x14ac:dyDescent="0.2">
      <c r="B708" s="35" t="s">
        <v>1888</v>
      </c>
      <c r="C708" s="3" t="s">
        <v>972</v>
      </c>
      <c r="D708" s="20" t="s">
        <v>2460</v>
      </c>
    </row>
    <row r="709" spans="2:4" x14ac:dyDescent="0.2">
      <c r="B709" s="35" t="s">
        <v>1889</v>
      </c>
      <c r="C709" s="3" t="s">
        <v>973</v>
      </c>
      <c r="D709" s="20" t="s">
        <v>2460</v>
      </c>
    </row>
    <row r="710" spans="2:4" x14ac:dyDescent="0.2">
      <c r="B710" s="35" t="s">
        <v>1890</v>
      </c>
      <c r="C710" s="80" t="s">
        <v>974</v>
      </c>
      <c r="D710" s="20" t="s">
        <v>2459</v>
      </c>
    </row>
    <row r="711" spans="2:4" x14ac:dyDescent="0.2">
      <c r="B711" s="35" t="s">
        <v>1891</v>
      </c>
      <c r="C711" s="3" t="s">
        <v>379</v>
      </c>
      <c r="D711" s="20" t="s">
        <v>2460</v>
      </c>
    </row>
    <row r="712" spans="2:4" x14ac:dyDescent="0.2">
      <c r="B712" s="35" t="s">
        <v>2718</v>
      </c>
      <c r="C712" s="3" t="s">
        <v>975</v>
      </c>
      <c r="D712" s="20" t="s">
        <v>175</v>
      </c>
    </row>
    <row r="713" spans="2:4" x14ac:dyDescent="0.2">
      <c r="B713" s="35" t="s">
        <v>2719</v>
      </c>
      <c r="C713" s="68" t="s">
        <v>976</v>
      </c>
      <c r="D713" s="20" t="s">
        <v>2463</v>
      </c>
    </row>
    <row r="714" spans="2:4" x14ac:dyDescent="0.2">
      <c r="B714" s="35" t="s">
        <v>1892</v>
      </c>
      <c r="C714" s="65" t="s">
        <v>77</v>
      </c>
      <c r="D714" s="20" t="s">
        <v>2463</v>
      </c>
    </row>
    <row r="715" spans="2:4" x14ac:dyDescent="0.2">
      <c r="B715" s="35" t="s">
        <v>1893</v>
      </c>
      <c r="C715" s="71" t="s">
        <v>1895</v>
      </c>
      <c r="D715" s="20" t="s">
        <v>2458</v>
      </c>
    </row>
    <row r="716" spans="2:4" x14ac:dyDescent="0.2">
      <c r="B716" s="35" t="s">
        <v>2720</v>
      </c>
      <c r="C716" s="71" t="s">
        <v>977</v>
      </c>
      <c r="D716" s="20" t="s">
        <v>2458</v>
      </c>
    </row>
    <row r="717" spans="2:4" x14ac:dyDescent="0.2">
      <c r="B717" s="35" t="s">
        <v>1894</v>
      </c>
      <c r="C717" s="82" t="s">
        <v>978</v>
      </c>
      <c r="D717" s="20" t="s">
        <v>2459</v>
      </c>
    </row>
    <row r="718" spans="2:4" x14ac:dyDescent="0.2">
      <c r="B718" s="35" t="s">
        <v>1896</v>
      </c>
      <c r="C718" s="71" t="s">
        <v>979</v>
      </c>
      <c r="D718" s="20" t="s">
        <v>2458</v>
      </c>
    </row>
    <row r="719" spans="2:4" x14ac:dyDescent="0.2">
      <c r="B719" s="35" t="s">
        <v>1897</v>
      </c>
      <c r="C719" s="80" t="s">
        <v>980</v>
      </c>
      <c r="D719" s="20" t="s">
        <v>2459</v>
      </c>
    </row>
    <row r="720" spans="2:4" x14ac:dyDescent="0.2">
      <c r="B720" s="35" t="s">
        <v>1898</v>
      </c>
      <c r="C720" s="71" t="s">
        <v>380</v>
      </c>
      <c r="D720" s="20" t="s">
        <v>2458</v>
      </c>
    </row>
    <row r="721" spans="2:4" x14ac:dyDescent="0.2">
      <c r="B721" s="35" t="s">
        <v>1899</v>
      </c>
      <c r="C721" s="71" t="s">
        <v>381</v>
      </c>
      <c r="D721" s="20" t="s">
        <v>2458</v>
      </c>
    </row>
    <row r="722" spans="2:4" x14ac:dyDescent="0.2">
      <c r="B722" s="35" t="s">
        <v>1900</v>
      </c>
      <c r="C722" s="71" t="s">
        <v>382</v>
      </c>
      <c r="D722" s="20" t="s">
        <v>2458</v>
      </c>
    </row>
    <row r="723" spans="2:4" x14ac:dyDescent="0.2">
      <c r="B723" s="35" t="s">
        <v>2721</v>
      </c>
      <c r="C723" s="3" t="s">
        <v>981</v>
      </c>
      <c r="D723" s="20" t="s">
        <v>175</v>
      </c>
    </row>
    <row r="724" spans="2:4" x14ac:dyDescent="0.2">
      <c r="B724" s="35" t="s">
        <v>1901</v>
      </c>
      <c r="C724" s="71" t="s">
        <v>383</v>
      </c>
      <c r="D724" s="20" t="s">
        <v>2458</v>
      </c>
    </row>
    <row r="725" spans="2:4" x14ac:dyDescent="0.2">
      <c r="B725" s="35" t="s">
        <v>1902</v>
      </c>
      <c r="C725" s="75" t="s">
        <v>240</v>
      </c>
      <c r="D725" s="20" t="s">
        <v>2463</v>
      </c>
    </row>
    <row r="726" spans="2:4" x14ac:dyDescent="0.2">
      <c r="B726" s="35" t="s">
        <v>1903</v>
      </c>
      <c r="C726" s="77" t="s">
        <v>982</v>
      </c>
      <c r="D726" s="20" t="s">
        <v>2463</v>
      </c>
    </row>
    <row r="727" spans="2:4" x14ac:dyDescent="0.2">
      <c r="B727" s="35" t="s">
        <v>1904</v>
      </c>
      <c r="C727" s="71" t="s">
        <v>983</v>
      </c>
      <c r="D727" s="20" t="s">
        <v>2458</v>
      </c>
    </row>
    <row r="728" spans="2:4" x14ac:dyDescent="0.2">
      <c r="B728" s="35" t="s">
        <v>1905</v>
      </c>
      <c r="C728" s="71" t="s">
        <v>984</v>
      </c>
      <c r="D728" s="20" t="s">
        <v>2458</v>
      </c>
    </row>
    <row r="729" spans="2:4" x14ac:dyDescent="0.2">
      <c r="B729" s="35" t="s">
        <v>1906</v>
      </c>
      <c r="C729" s="80" t="s">
        <v>384</v>
      </c>
      <c r="D729" s="20" t="s">
        <v>2459</v>
      </c>
    </row>
    <row r="730" spans="2:4" x14ac:dyDescent="0.2">
      <c r="B730" s="35" t="s">
        <v>1907</v>
      </c>
      <c r="C730" s="78" t="s">
        <v>985</v>
      </c>
      <c r="D730" s="20" t="s">
        <v>2459</v>
      </c>
    </row>
    <row r="731" spans="2:4" x14ac:dyDescent="0.2">
      <c r="B731" s="35" t="s">
        <v>2722</v>
      </c>
      <c r="C731" s="3" t="s">
        <v>986</v>
      </c>
      <c r="D731" s="20" t="s">
        <v>175</v>
      </c>
    </row>
    <row r="732" spans="2:4" x14ac:dyDescent="0.2">
      <c r="B732" s="35" t="s">
        <v>1908</v>
      </c>
      <c r="C732" s="80" t="s">
        <v>987</v>
      </c>
      <c r="D732" s="20" t="s">
        <v>2459</v>
      </c>
    </row>
    <row r="733" spans="2:4" x14ac:dyDescent="0.2">
      <c r="B733" s="35" t="s">
        <v>1909</v>
      </c>
      <c r="C733" s="80" t="s">
        <v>988</v>
      </c>
      <c r="D733" s="20" t="s">
        <v>2459</v>
      </c>
    </row>
    <row r="734" spans="2:4" x14ac:dyDescent="0.2">
      <c r="B734" s="35" t="s">
        <v>1910</v>
      </c>
      <c r="C734" s="80" t="s">
        <v>989</v>
      </c>
      <c r="D734" s="20" t="s">
        <v>2459</v>
      </c>
    </row>
    <row r="735" spans="2:4" x14ac:dyDescent="0.2">
      <c r="B735" s="35" t="s">
        <v>1911</v>
      </c>
      <c r="C735" s="80" t="s">
        <v>990</v>
      </c>
      <c r="D735" s="20" t="s">
        <v>2459</v>
      </c>
    </row>
    <row r="736" spans="2:4" x14ac:dyDescent="0.2">
      <c r="B736" s="35" t="s">
        <v>1912</v>
      </c>
      <c r="C736" s="83" t="s">
        <v>991</v>
      </c>
      <c r="D736" s="20" t="s">
        <v>2460</v>
      </c>
    </row>
    <row r="737" spans="2:4" x14ac:dyDescent="0.2">
      <c r="B737" s="35" t="s">
        <v>1913</v>
      </c>
      <c r="C737" s="80" t="s">
        <v>992</v>
      </c>
      <c r="D737" s="20" t="s">
        <v>2459</v>
      </c>
    </row>
    <row r="738" spans="2:4" x14ac:dyDescent="0.2">
      <c r="B738" s="35" t="s">
        <v>1920</v>
      </c>
      <c r="C738" s="83" t="s">
        <v>1921</v>
      </c>
      <c r="D738" s="20" t="s">
        <v>175</v>
      </c>
    </row>
    <row r="739" spans="2:4" x14ac:dyDescent="0.2">
      <c r="B739" s="35" t="s">
        <v>1914</v>
      </c>
      <c r="C739" s="71" t="s">
        <v>167</v>
      </c>
      <c r="D739" s="20" t="s">
        <v>2458</v>
      </c>
    </row>
    <row r="740" spans="2:4" x14ac:dyDescent="0.2">
      <c r="B740" s="35" t="s">
        <v>1915</v>
      </c>
      <c r="C740" s="71" t="s">
        <v>993</v>
      </c>
      <c r="D740" s="20" t="s">
        <v>2458</v>
      </c>
    </row>
    <row r="741" spans="2:4" x14ac:dyDescent="0.2">
      <c r="B741" s="35" t="s">
        <v>1916</v>
      </c>
      <c r="C741" s="71" t="s">
        <v>994</v>
      </c>
      <c r="D741" s="20" t="s">
        <v>2458</v>
      </c>
    </row>
    <row r="742" spans="2:4" x14ac:dyDescent="0.2">
      <c r="B742" s="35" t="s">
        <v>1917</v>
      </c>
      <c r="C742" s="71" t="s">
        <v>385</v>
      </c>
      <c r="D742" s="20" t="s">
        <v>2458</v>
      </c>
    </row>
    <row r="743" spans="2:4" x14ac:dyDescent="0.2">
      <c r="B743" s="35" t="s">
        <v>1918</v>
      </c>
      <c r="C743" s="3" t="s">
        <v>995</v>
      </c>
      <c r="D743" s="20" t="s">
        <v>2460</v>
      </c>
    </row>
    <row r="744" spans="2:4" x14ac:dyDescent="0.2">
      <c r="B744" s="35" t="s">
        <v>1919</v>
      </c>
      <c r="C744" s="3" t="s">
        <v>996</v>
      </c>
      <c r="D744" s="20" t="s">
        <v>2460</v>
      </c>
    </row>
    <row r="745" spans="2:4" x14ac:dyDescent="0.2">
      <c r="B745" s="35" t="s">
        <v>1922</v>
      </c>
      <c r="C745" s="3" t="s">
        <v>997</v>
      </c>
      <c r="D745" s="20" t="s">
        <v>2460</v>
      </c>
    </row>
    <row r="746" spans="2:4" x14ac:dyDescent="0.2">
      <c r="B746" s="35" t="s">
        <v>1923</v>
      </c>
      <c r="C746" s="3" t="s">
        <v>998</v>
      </c>
      <c r="D746" s="20" t="s">
        <v>2460</v>
      </c>
    </row>
    <row r="747" spans="2:4" x14ac:dyDescent="0.2">
      <c r="B747" s="35" t="s">
        <v>1924</v>
      </c>
      <c r="C747" s="71" t="s">
        <v>999</v>
      </c>
      <c r="D747" s="20" t="s">
        <v>2458</v>
      </c>
    </row>
    <row r="748" spans="2:4" x14ac:dyDescent="0.2">
      <c r="B748" s="35" t="s">
        <v>1925</v>
      </c>
      <c r="C748" s="71" t="s">
        <v>1000</v>
      </c>
      <c r="D748" s="20" t="s">
        <v>2458</v>
      </c>
    </row>
    <row r="749" spans="2:4" x14ac:dyDescent="0.2">
      <c r="B749" s="35" t="s">
        <v>1926</v>
      </c>
      <c r="C749" s="3" t="s">
        <v>1001</v>
      </c>
      <c r="D749" s="20" t="s">
        <v>2460</v>
      </c>
    </row>
    <row r="750" spans="2:4" x14ac:dyDescent="0.2">
      <c r="B750" s="35" t="s">
        <v>1927</v>
      </c>
      <c r="C750" s="3" t="s">
        <v>1002</v>
      </c>
      <c r="D750" s="20" t="s">
        <v>2460</v>
      </c>
    </row>
    <row r="751" spans="2:4" x14ac:dyDescent="0.2">
      <c r="B751" s="35" t="s">
        <v>2723</v>
      </c>
      <c r="C751" s="3" t="s">
        <v>1003</v>
      </c>
      <c r="D751" s="20" t="s">
        <v>2460</v>
      </c>
    </row>
    <row r="752" spans="2:4" x14ac:dyDescent="0.2">
      <c r="B752" s="35" t="s">
        <v>1928</v>
      </c>
      <c r="C752" s="3" t="s">
        <v>1004</v>
      </c>
      <c r="D752" s="20" t="s">
        <v>2460</v>
      </c>
    </row>
    <row r="753" spans="2:4" x14ac:dyDescent="0.2">
      <c r="B753" s="35" t="s">
        <v>1929</v>
      </c>
      <c r="C753" s="65" t="s">
        <v>78</v>
      </c>
      <c r="D753" s="20" t="s">
        <v>2463</v>
      </c>
    </row>
    <row r="754" spans="2:4" x14ac:dyDescent="0.2">
      <c r="B754" s="35" t="s">
        <v>1930</v>
      </c>
      <c r="C754" s="71" t="s">
        <v>168</v>
      </c>
      <c r="D754" s="20" t="s">
        <v>2458</v>
      </c>
    </row>
    <row r="755" spans="2:4" x14ac:dyDescent="0.2">
      <c r="B755" s="35" t="s">
        <v>2724</v>
      </c>
      <c r="C755" s="3" t="s">
        <v>1005</v>
      </c>
      <c r="D755" s="20" t="s">
        <v>175</v>
      </c>
    </row>
    <row r="756" spans="2:4" x14ac:dyDescent="0.2">
      <c r="B756" s="35" t="s">
        <v>1931</v>
      </c>
      <c r="C756" s="65" t="s">
        <v>79</v>
      </c>
      <c r="D756" s="20" t="s">
        <v>2463</v>
      </c>
    </row>
    <row r="757" spans="2:4" x14ac:dyDescent="0.2">
      <c r="B757" s="35" t="s">
        <v>1932</v>
      </c>
      <c r="C757" s="65" t="s">
        <v>1006</v>
      </c>
      <c r="D757" s="20" t="s">
        <v>2463</v>
      </c>
    </row>
    <row r="758" spans="2:4" x14ac:dyDescent="0.2">
      <c r="B758" s="35" t="s">
        <v>1933</v>
      </c>
      <c r="C758" s="3" t="s">
        <v>1007</v>
      </c>
      <c r="D758" s="20" t="s">
        <v>2460</v>
      </c>
    </row>
    <row r="759" spans="2:4" x14ac:dyDescent="0.2">
      <c r="B759" s="35" t="s">
        <v>1934</v>
      </c>
      <c r="C759" s="77" t="s">
        <v>386</v>
      </c>
      <c r="D759" s="20" t="s">
        <v>2463</v>
      </c>
    </row>
    <row r="760" spans="2:4" x14ac:dyDescent="0.2">
      <c r="B760" s="35" t="s">
        <v>1935</v>
      </c>
      <c r="C760" s="75" t="s">
        <v>80</v>
      </c>
      <c r="D760" s="20" t="s">
        <v>2463</v>
      </c>
    </row>
    <row r="761" spans="2:4" x14ac:dyDescent="0.2">
      <c r="B761" s="35" t="s">
        <v>1936</v>
      </c>
      <c r="C761" s="75" t="s">
        <v>81</v>
      </c>
      <c r="D761" s="20" t="s">
        <v>2463</v>
      </c>
    </row>
    <row r="762" spans="2:4" x14ac:dyDescent="0.2">
      <c r="B762" s="35" t="s">
        <v>2725</v>
      </c>
      <c r="C762" s="75" t="s">
        <v>1937</v>
      </c>
      <c r="D762" s="20" t="s">
        <v>2463</v>
      </c>
    </row>
    <row r="763" spans="2:4" x14ac:dyDescent="0.2">
      <c r="B763" s="35" t="s">
        <v>1938</v>
      </c>
      <c r="C763" s="71" t="s">
        <v>1008</v>
      </c>
      <c r="D763" s="20" t="s">
        <v>2458</v>
      </c>
    </row>
    <row r="764" spans="2:4" x14ac:dyDescent="0.2">
      <c r="B764" s="35" t="s">
        <v>1939</v>
      </c>
      <c r="C764" s="80" t="s">
        <v>1009</v>
      </c>
      <c r="D764" s="20" t="s">
        <v>2459</v>
      </c>
    </row>
    <row r="765" spans="2:4" x14ac:dyDescent="0.2">
      <c r="B765" s="35" t="s">
        <v>1940</v>
      </c>
      <c r="C765" s="71" t="s">
        <v>1010</v>
      </c>
      <c r="D765" s="20" t="s">
        <v>2458</v>
      </c>
    </row>
    <row r="766" spans="2:4" x14ac:dyDescent="0.2">
      <c r="B766" s="35" t="s">
        <v>1941</v>
      </c>
      <c r="C766" s="80" t="s">
        <v>169</v>
      </c>
      <c r="D766" s="20" t="s">
        <v>2459</v>
      </c>
    </row>
    <row r="767" spans="2:4" x14ac:dyDescent="0.2">
      <c r="B767" s="35" t="s">
        <v>1942</v>
      </c>
      <c r="C767" s="71" t="s">
        <v>526</v>
      </c>
      <c r="D767" s="20" t="s">
        <v>2458</v>
      </c>
    </row>
    <row r="768" spans="2:4" x14ac:dyDescent="0.2">
      <c r="B768" s="35" t="s">
        <v>1943</v>
      </c>
      <c r="C768" s="3" t="s">
        <v>1011</v>
      </c>
      <c r="D768" s="20" t="s">
        <v>2460</v>
      </c>
    </row>
    <row r="769" spans="2:4" x14ac:dyDescent="0.2">
      <c r="B769" s="35" t="s">
        <v>1944</v>
      </c>
      <c r="C769" s="3" t="s">
        <v>1012</v>
      </c>
      <c r="D769" s="20" t="s">
        <v>2460</v>
      </c>
    </row>
    <row r="770" spans="2:4" x14ac:dyDescent="0.2">
      <c r="B770" s="35" t="s">
        <v>2726</v>
      </c>
      <c r="C770" s="3" t="s">
        <v>1013</v>
      </c>
      <c r="D770" s="20" t="s">
        <v>175</v>
      </c>
    </row>
    <row r="771" spans="2:4" x14ac:dyDescent="0.2">
      <c r="B771" s="35" t="s">
        <v>1945</v>
      </c>
      <c r="C771" s="71" t="s">
        <v>170</v>
      </c>
      <c r="D771" s="20" t="s">
        <v>2458</v>
      </c>
    </row>
    <row r="772" spans="2:4" x14ac:dyDescent="0.2">
      <c r="B772" s="35" t="s">
        <v>1946</v>
      </c>
      <c r="C772" s="71" t="s">
        <v>1014</v>
      </c>
      <c r="D772" s="20" t="s">
        <v>2458</v>
      </c>
    </row>
    <row r="773" spans="2:4" x14ac:dyDescent="0.2">
      <c r="B773" s="35" t="s">
        <v>1947</v>
      </c>
      <c r="C773" s="80" t="s">
        <v>1015</v>
      </c>
      <c r="D773" s="20" t="s">
        <v>2459</v>
      </c>
    </row>
    <row r="774" spans="2:4" x14ac:dyDescent="0.2">
      <c r="B774" s="35" t="s">
        <v>1948</v>
      </c>
      <c r="C774" s="80" t="s">
        <v>1016</v>
      </c>
      <c r="D774" s="20" t="s">
        <v>2459</v>
      </c>
    </row>
    <row r="775" spans="2:4" x14ac:dyDescent="0.2">
      <c r="B775" s="35" t="s">
        <v>1949</v>
      </c>
      <c r="C775" s="80" t="s">
        <v>1017</v>
      </c>
      <c r="D775" s="20" t="s">
        <v>2459</v>
      </c>
    </row>
    <row r="776" spans="2:4" x14ac:dyDescent="0.2">
      <c r="B776" s="35" t="s">
        <v>2727</v>
      </c>
      <c r="C776" s="80" t="s">
        <v>1018</v>
      </c>
      <c r="D776" s="20" t="s">
        <v>2459</v>
      </c>
    </row>
    <row r="777" spans="2:4" x14ac:dyDescent="0.2">
      <c r="B777" s="35" t="s">
        <v>1950</v>
      </c>
      <c r="C777" s="68" t="s">
        <v>387</v>
      </c>
      <c r="D777" s="20" t="s">
        <v>2461</v>
      </c>
    </row>
    <row r="778" spans="2:4" x14ac:dyDescent="0.2">
      <c r="B778" s="35" t="s">
        <v>1951</v>
      </c>
      <c r="C778" s="3" t="s">
        <v>82</v>
      </c>
      <c r="D778" s="20" t="s">
        <v>2460</v>
      </c>
    </row>
    <row r="779" spans="2:4" x14ac:dyDescent="0.2">
      <c r="B779" s="35" t="s">
        <v>1952</v>
      </c>
      <c r="C779" s="80" t="s">
        <v>1019</v>
      </c>
      <c r="D779" s="20" t="s">
        <v>2459</v>
      </c>
    </row>
    <row r="780" spans="2:4" x14ac:dyDescent="0.2">
      <c r="B780" s="35" t="s">
        <v>1953</v>
      </c>
      <c r="C780" s="80" t="s">
        <v>1020</v>
      </c>
      <c r="D780" s="20" t="s">
        <v>2459</v>
      </c>
    </row>
    <row r="781" spans="2:4" x14ac:dyDescent="0.2">
      <c r="B781" s="35" t="s">
        <v>1954</v>
      </c>
      <c r="C781" s="80" t="s">
        <v>388</v>
      </c>
      <c r="D781" s="20" t="s">
        <v>2459</v>
      </c>
    </row>
    <row r="782" spans="2:4" x14ac:dyDescent="0.2">
      <c r="B782" s="35" t="s">
        <v>1955</v>
      </c>
      <c r="C782" s="78" t="s">
        <v>389</v>
      </c>
      <c r="D782" s="20" t="s">
        <v>2459</v>
      </c>
    </row>
    <row r="783" spans="2:4" x14ac:dyDescent="0.2">
      <c r="B783" s="35" t="s">
        <v>1956</v>
      </c>
      <c r="C783" s="86" t="s">
        <v>390</v>
      </c>
      <c r="D783" s="20" t="s">
        <v>2459</v>
      </c>
    </row>
    <row r="784" spans="2:4" x14ac:dyDescent="0.2">
      <c r="B784" s="35" t="s">
        <v>1957</v>
      </c>
      <c r="C784" s="3" t="s">
        <v>391</v>
      </c>
      <c r="D784" s="20" t="s">
        <v>2460</v>
      </c>
    </row>
    <row r="785" spans="2:4" x14ac:dyDescent="0.2">
      <c r="B785" s="35" t="s">
        <v>1958</v>
      </c>
      <c r="C785" s="71" t="s">
        <v>392</v>
      </c>
      <c r="D785" s="20" t="s">
        <v>2458</v>
      </c>
    </row>
    <row r="786" spans="2:4" x14ac:dyDescent="0.2">
      <c r="B786" s="35" t="s">
        <v>1959</v>
      </c>
      <c r="C786" s="71" t="s">
        <v>393</v>
      </c>
      <c r="D786" s="20" t="s">
        <v>2458</v>
      </c>
    </row>
    <row r="787" spans="2:4" x14ac:dyDescent="0.2">
      <c r="B787" s="35" t="s">
        <v>1959</v>
      </c>
      <c r="C787" s="3" t="s">
        <v>394</v>
      </c>
      <c r="D787" s="20" t="s">
        <v>2460</v>
      </c>
    </row>
    <row r="788" spans="2:4" x14ac:dyDescent="0.2">
      <c r="B788" s="35" t="s">
        <v>1960</v>
      </c>
      <c r="C788" s="78" t="s">
        <v>395</v>
      </c>
      <c r="D788" s="20" t="s">
        <v>2459</v>
      </c>
    </row>
    <row r="789" spans="2:4" x14ac:dyDescent="0.2">
      <c r="B789" s="35" t="s">
        <v>1961</v>
      </c>
      <c r="C789" s="78" t="s">
        <v>1021</v>
      </c>
      <c r="D789" s="20" t="s">
        <v>2459</v>
      </c>
    </row>
    <row r="790" spans="2:4" x14ac:dyDescent="0.2">
      <c r="B790" s="35" t="s">
        <v>2728</v>
      </c>
      <c r="C790" s="3" t="s">
        <v>396</v>
      </c>
      <c r="D790" s="20" t="s">
        <v>175</v>
      </c>
    </row>
    <row r="791" spans="2:4" x14ac:dyDescent="0.2">
      <c r="B791" s="35" t="s">
        <v>1962</v>
      </c>
      <c r="C791" s="65" t="s">
        <v>83</v>
      </c>
      <c r="D791" s="20" t="s">
        <v>2463</v>
      </c>
    </row>
    <row r="792" spans="2:4" x14ac:dyDescent="0.2">
      <c r="B792" s="35" t="s">
        <v>1963</v>
      </c>
      <c r="C792" s="75" t="s">
        <v>397</v>
      </c>
      <c r="D792" s="20" t="s">
        <v>2463</v>
      </c>
    </row>
    <row r="793" spans="2:4" x14ac:dyDescent="0.2">
      <c r="B793" s="35" t="s">
        <v>1964</v>
      </c>
      <c r="C793" s="65" t="s">
        <v>1022</v>
      </c>
      <c r="D793" s="20" t="s">
        <v>2463</v>
      </c>
    </row>
    <row r="794" spans="2:4" x14ac:dyDescent="0.2">
      <c r="B794" s="35" t="s">
        <v>1965</v>
      </c>
      <c r="C794" s="65" t="s">
        <v>1023</v>
      </c>
      <c r="D794" s="20" t="s">
        <v>2463</v>
      </c>
    </row>
    <row r="795" spans="2:4" x14ac:dyDescent="0.2">
      <c r="B795" s="35" t="s">
        <v>1966</v>
      </c>
      <c r="C795" s="71" t="s">
        <v>1024</v>
      </c>
      <c r="D795" s="20" t="s">
        <v>2458</v>
      </c>
    </row>
    <row r="796" spans="2:4" x14ac:dyDescent="0.2">
      <c r="B796" s="35" t="s">
        <v>1967</v>
      </c>
      <c r="C796" s="65" t="s">
        <v>84</v>
      </c>
      <c r="D796" s="20" t="s">
        <v>2462</v>
      </c>
    </row>
    <row r="797" spans="2:4" x14ac:dyDescent="0.2">
      <c r="B797" s="35" t="s">
        <v>2441</v>
      </c>
      <c r="C797" s="80" t="s">
        <v>2442</v>
      </c>
      <c r="D797" s="20" t="s">
        <v>2459</v>
      </c>
    </row>
    <row r="798" spans="2:4" x14ac:dyDescent="0.2">
      <c r="B798" s="35" t="s">
        <v>1968</v>
      </c>
      <c r="C798" s="3" t="s">
        <v>1025</v>
      </c>
      <c r="D798" s="20" t="s">
        <v>2460</v>
      </c>
    </row>
    <row r="799" spans="2:4" x14ac:dyDescent="0.2">
      <c r="B799" s="35" t="s">
        <v>1969</v>
      </c>
      <c r="C799" s="80" t="s">
        <v>241</v>
      </c>
      <c r="D799" s="20" t="s">
        <v>2459</v>
      </c>
    </row>
    <row r="800" spans="2:4" x14ac:dyDescent="0.2">
      <c r="B800" s="35" t="s">
        <v>2729</v>
      </c>
      <c r="C800" s="80" t="s">
        <v>2443</v>
      </c>
      <c r="D800" s="20" t="s">
        <v>2459</v>
      </c>
    </row>
    <row r="801" spans="2:4" x14ac:dyDescent="0.2">
      <c r="B801" s="35" t="s">
        <v>1970</v>
      </c>
      <c r="C801" s="80" t="s">
        <v>1026</v>
      </c>
      <c r="D801" s="20" t="s">
        <v>2459</v>
      </c>
    </row>
    <row r="802" spans="2:4" x14ac:dyDescent="0.2">
      <c r="B802" s="35" t="s">
        <v>1971</v>
      </c>
      <c r="C802" s="80" t="s">
        <v>1027</v>
      </c>
      <c r="D802" s="20" t="s">
        <v>2459</v>
      </c>
    </row>
    <row r="803" spans="2:4" x14ac:dyDescent="0.2">
      <c r="B803" s="35" t="s">
        <v>1972</v>
      </c>
      <c r="C803" s="80" t="s">
        <v>1028</v>
      </c>
      <c r="D803" s="20" t="s">
        <v>2459</v>
      </c>
    </row>
    <row r="804" spans="2:4" x14ac:dyDescent="0.2">
      <c r="B804" s="35" t="s">
        <v>1973</v>
      </c>
      <c r="C804" s="75" t="s">
        <v>1029</v>
      </c>
      <c r="D804" s="20" t="s">
        <v>2463</v>
      </c>
    </row>
    <row r="805" spans="2:4" x14ac:dyDescent="0.2">
      <c r="B805" s="35" t="s">
        <v>1974</v>
      </c>
      <c r="C805" s="75" t="s">
        <v>1030</v>
      </c>
      <c r="D805" s="20" t="s">
        <v>2463</v>
      </c>
    </row>
    <row r="806" spans="2:4" x14ac:dyDescent="0.2">
      <c r="B806" s="35" t="s">
        <v>1975</v>
      </c>
      <c r="C806" s="75" t="s">
        <v>242</v>
      </c>
      <c r="D806" s="20" t="s">
        <v>2463</v>
      </c>
    </row>
    <row r="807" spans="2:4" x14ac:dyDescent="0.2">
      <c r="B807" s="35" t="s">
        <v>1976</v>
      </c>
      <c r="C807" s="75" t="s">
        <v>1031</v>
      </c>
      <c r="D807" s="20" t="s">
        <v>2463</v>
      </c>
    </row>
    <row r="808" spans="2:4" x14ac:dyDescent="0.2">
      <c r="B808" s="35" t="s">
        <v>1977</v>
      </c>
      <c r="C808" s="75" t="s">
        <v>1032</v>
      </c>
      <c r="D808" s="20" t="s">
        <v>2463</v>
      </c>
    </row>
    <row r="809" spans="2:4" x14ac:dyDescent="0.2">
      <c r="B809" s="35" t="s">
        <v>1978</v>
      </c>
      <c r="C809" s="75" t="s">
        <v>398</v>
      </c>
      <c r="D809" s="20" t="s">
        <v>2463</v>
      </c>
    </row>
    <row r="810" spans="2:4" x14ac:dyDescent="0.2">
      <c r="B810" s="35" t="s">
        <v>1979</v>
      </c>
      <c r="C810" s="75" t="s">
        <v>1033</v>
      </c>
      <c r="D810" s="20" t="s">
        <v>2463</v>
      </c>
    </row>
    <row r="811" spans="2:4" x14ac:dyDescent="0.2">
      <c r="B811" s="35" t="s">
        <v>1980</v>
      </c>
      <c r="C811" s="75" t="s">
        <v>1034</v>
      </c>
      <c r="D811" s="20" t="s">
        <v>2462</v>
      </c>
    </row>
    <row r="812" spans="2:4" x14ac:dyDescent="0.2">
      <c r="B812" s="35" t="s">
        <v>1981</v>
      </c>
      <c r="C812" s="75" t="s">
        <v>1035</v>
      </c>
      <c r="D812" s="20" t="s">
        <v>2463</v>
      </c>
    </row>
    <row r="813" spans="2:4" x14ac:dyDescent="0.2">
      <c r="B813" s="35" t="s">
        <v>2730</v>
      </c>
      <c r="C813" s="75" t="s">
        <v>1036</v>
      </c>
      <c r="D813" s="20" t="s">
        <v>175</v>
      </c>
    </row>
    <row r="814" spans="2:4" x14ac:dyDescent="0.2">
      <c r="B814" s="35" t="s">
        <v>1982</v>
      </c>
      <c r="C814" s="75" t="s">
        <v>399</v>
      </c>
      <c r="D814" s="20" t="s">
        <v>2463</v>
      </c>
    </row>
    <row r="815" spans="2:4" x14ac:dyDescent="0.2">
      <c r="B815" s="35" t="s">
        <v>2529</v>
      </c>
      <c r="C815" s="65" t="s">
        <v>2521</v>
      </c>
      <c r="D815" s="20" t="s">
        <v>2528</v>
      </c>
    </row>
    <row r="816" spans="2:4" x14ac:dyDescent="0.2">
      <c r="B816" s="35" t="s">
        <v>1983</v>
      </c>
      <c r="C816" s="3" t="s">
        <v>1037</v>
      </c>
      <c r="D816" s="20" t="s">
        <v>2460</v>
      </c>
    </row>
    <row r="817" spans="2:4" x14ac:dyDescent="0.2">
      <c r="B817" s="35" t="s">
        <v>1984</v>
      </c>
      <c r="C817" s="3" t="s">
        <v>1038</v>
      </c>
      <c r="D817" s="20" t="s">
        <v>2460</v>
      </c>
    </row>
    <row r="818" spans="2:4" x14ac:dyDescent="0.2">
      <c r="B818" s="35" t="s">
        <v>1985</v>
      </c>
      <c r="C818" s="78" t="s">
        <v>1039</v>
      </c>
      <c r="D818" s="20" t="s">
        <v>2459</v>
      </c>
    </row>
    <row r="819" spans="2:4" x14ac:dyDescent="0.2">
      <c r="B819" s="35" t="s">
        <v>1986</v>
      </c>
      <c r="C819" s="65" t="s">
        <v>1040</v>
      </c>
      <c r="D819" s="20" t="s">
        <v>2463</v>
      </c>
    </row>
    <row r="820" spans="2:4" x14ac:dyDescent="0.2">
      <c r="B820" s="35" t="s">
        <v>1987</v>
      </c>
      <c r="C820" s="3" t="s">
        <v>1041</v>
      </c>
      <c r="D820" s="20" t="s">
        <v>2460</v>
      </c>
    </row>
    <row r="821" spans="2:4" x14ac:dyDescent="0.2">
      <c r="B821" s="35" t="s">
        <v>1988</v>
      </c>
      <c r="C821" s="3" t="s">
        <v>1042</v>
      </c>
      <c r="D821" s="20" t="s">
        <v>2460</v>
      </c>
    </row>
    <row r="822" spans="2:4" x14ac:dyDescent="0.2">
      <c r="B822" s="35" t="s">
        <v>1989</v>
      </c>
      <c r="C822" s="75" t="s">
        <v>1043</v>
      </c>
      <c r="D822" s="20" t="s">
        <v>2462</v>
      </c>
    </row>
    <row r="823" spans="2:4" x14ac:dyDescent="0.2">
      <c r="B823" s="35" t="s">
        <v>1990</v>
      </c>
      <c r="C823" s="75" t="s">
        <v>1044</v>
      </c>
      <c r="D823" s="20" t="s">
        <v>2461</v>
      </c>
    </row>
    <row r="824" spans="2:4" x14ac:dyDescent="0.2">
      <c r="B824" s="35" t="s">
        <v>1991</v>
      </c>
      <c r="C824" s="71" t="s">
        <v>1045</v>
      </c>
      <c r="D824" s="20" t="s">
        <v>2458</v>
      </c>
    </row>
    <row r="825" spans="2:4" x14ac:dyDescent="0.2">
      <c r="B825" s="35" t="s">
        <v>1992</v>
      </c>
      <c r="C825" s="80" t="s">
        <v>1046</v>
      </c>
      <c r="D825" s="20" t="s">
        <v>2459</v>
      </c>
    </row>
    <row r="826" spans="2:4" x14ac:dyDescent="0.2">
      <c r="B826" s="35" t="s">
        <v>2589</v>
      </c>
      <c r="C826" s="71" t="s">
        <v>2632</v>
      </c>
      <c r="D826" s="20" t="s">
        <v>2458</v>
      </c>
    </row>
    <row r="827" spans="2:4" x14ac:dyDescent="0.2">
      <c r="B827" s="35" t="s">
        <v>2569</v>
      </c>
      <c r="C827" s="80" t="s">
        <v>2612</v>
      </c>
      <c r="D827" s="20" t="s">
        <v>2459</v>
      </c>
    </row>
    <row r="828" spans="2:4" x14ac:dyDescent="0.2">
      <c r="B828" s="35" t="s">
        <v>1993</v>
      </c>
      <c r="C828" s="3" t="s">
        <v>1047</v>
      </c>
      <c r="D828" s="20" t="s">
        <v>2460</v>
      </c>
    </row>
    <row r="829" spans="2:4" x14ac:dyDescent="0.2">
      <c r="B829" s="35" t="s">
        <v>1994</v>
      </c>
      <c r="C829" s="71" t="s">
        <v>171</v>
      </c>
      <c r="D829" s="20" t="s">
        <v>2458</v>
      </c>
    </row>
    <row r="830" spans="2:4" x14ac:dyDescent="0.2">
      <c r="B830" s="35" t="s">
        <v>1995</v>
      </c>
      <c r="C830" s="71" t="s">
        <v>1048</v>
      </c>
      <c r="D830" s="20" t="s">
        <v>2458</v>
      </c>
    </row>
    <row r="831" spans="2:4" x14ac:dyDescent="0.2">
      <c r="B831" s="35" t="s">
        <v>1996</v>
      </c>
      <c r="C831" s="71" t="s">
        <v>1049</v>
      </c>
      <c r="D831" s="20" t="s">
        <v>2458</v>
      </c>
    </row>
    <row r="832" spans="2:4" x14ac:dyDescent="0.2">
      <c r="B832" s="35" t="s">
        <v>1997</v>
      </c>
      <c r="C832" s="71" t="s">
        <v>205</v>
      </c>
      <c r="D832" s="20" t="s">
        <v>2458</v>
      </c>
    </row>
    <row r="833" spans="2:4" x14ac:dyDescent="0.2">
      <c r="B833" s="35" t="s">
        <v>1998</v>
      </c>
      <c r="C833" s="80" t="s">
        <v>1050</v>
      </c>
      <c r="D833" s="20" t="s">
        <v>2459</v>
      </c>
    </row>
    <row r="834" spans="2:4" x14ac:dyDescent="0.2">
      <c r="B834" s="35" t="s">
        <v>1999</v>
      </c>
      <c r="C834" s="71" t="s">
        <v>400</v>
      </c>
      <c r="D834" s="20" t="s">
        <v>2458</v>
      </c>
    </row>
    <row r="835" spans="2:4" x14ac:dyDescent="0.2">
      <c r="B835" s="35" t="s">
        <v>2000</v>
      </c>
      <c r="C835" s="71" t="s">
        <v>401</v>
      </c>
      <c r="D835" s="20" t="s">
        <v>2458</v>
      </c>
    </row>
    <row r="836" spans="2:4" x14ac:dyDescent="0.2">
      <c r="B836" s="35" t="s">
        <v>2001</v>
      </c>
      <c r="C836" s="75" t="s">
        <v>85</v>
      </c>
      <c r="D836" s="20" t="s">
        <v>2463</v>
      </c>
    </row>
    <row r="837" spans="2:4" x14ac:dyDescent="0.2">
      <c r="B837" s="35" t="s">
        <v>2002</v>
      </c>
      <c r="C837" s="75" t="s">
        <v>1051</v>
      </c>
      <c r="D837" s="20" t="s">
        <v>2463</v>
      </c>
    </row>
    <row r="838" spans="2:4" x14ac:dyDescent="0.2">
      <c r="B838" s="35" t="s">
        <v>2003</v>
      </c>
      <c r="C838" s="80" t="s">
        <v>1052</v>
      </c>
      <c r="D838" s="20" t="s">
        <v>2459</v>
      </c>
    </row>
    <row r="839" spans="2:4" x14ac:dyDescent="0.2">
      <c r="B839" s="35" t="s">
        <v>2004</v>
      </c>
      <c r="C839" s="80" t="s">
        <v>1053</v>
      </c>
      <c r="D839" s="20" t="s">
        <v>2459</v>
      </c>
    </row>
    <row r="840" spans="2:4" x14ac:dyDescent="0.2">
      <c r="B840" s="35" t="s">
        <v>2005</v>
      </c>
      <c r="C840" s="71" t="s">
        <v>1054</v>
      </c>
      <c r="D840" s="20" t="s">
        <v>2458</v>
      </c>
    </row>
    <row r="841" spans="2:4" x14ac:dyDescent="0.2">
      <c r="B841" s="35" t="s">
        <v>2006</v>
      </c>
      <c r="C841" s="3" t="s">
        <v>1055</v>
      </c>
      <c r="D841" s="20" t="s">
        <v>2460</v>
      </c>
    </row>
    <row r="842" spans="2:4" x14ac:dyDescent="0.2">
      <c r="B842" s="35" t="s">
        <v>2007</v>
      </c>
      <c r="C842" s="3" t="s">
        <v>1056</v>
      </c>
      <c r="D842" s="20" t="s">
        <v>2460</v>
      </c>
    </row>
    <row r="843" spans="2:4" x14ac:dyDescent="0.2">
      <c r="B843" s="35" t="s">
        <v>2731</v>
      </c>
      <c r="C843" s="3" t="s">
        <v>1057</v>
      </c>
      <c r="D843" s="20" t="s">
        <v>2460</v>
      </c>
    </row>
    <row r="844" spans="2:4" x14ac:dyDescent="0.2">
      <c r="B844" s="35" t="s">
        <v>2008</v>
      </c>
      <c r="C844" s="3" t="s">
        <v>1058</v>
      </c>
      <c r="D844" s="20" t="s">
        <v>2460</v>
      </c>
    </row>
    <row r="845" spans="2:4" x14ac:dyDescent="0.2">
      <c r="B845" s="35" t="s">
        <v>2530</v>
      </c>
      <c r="C845" s="65" t="s">
        <v>2522</v>
      </c>
      <c r="D845" s="20" t="s">
        <v>2528</v>
      </c>
    </row>
    <row r="846" spans="2:4" x14ac:dyDescent="0.2">
      <c r="B846" s="35" t="s">
        <v>2732</v>
      </c>
      <c r="C846" s="65" t="s">
        <v>2523</v>
      </c>
      <c r="D846" s="20" t="s">
        <v>2528</v>
      </c>
    </row>
    <row r="847" spans="2:4" x14ac:dyDescent="0.2">
      <c r="B847" s="35" t="s">
        <v>2531</v>
      </c>
      <c r="C847" s="65" t="s">
        <v>2524</v>
      </c>
      <c r="D847" s="20" t="s">
        <v>2528</v>
      </c>
    </row>
    <row r="848" spans="2:4" x14ac:dyDescent="0.2">
      <c r="B848" s="35" t="s">
        <v>2009</v>
      </c>
      <c r="C848" s="71" t="s">
        <v>1059</v>
      </c>
      <c r="D848" s="20" t="s">
        <v>2458</v>
      </c>
    </row>
    <row r="849" spans="2:4" x14ac:dyDescent="0.2">
      <c r="B849" s="35" t="s">
        <v>2010</v>
      </c>
      <c r="C849" s="80" t="s">
        <v>1060</v>
      </c>
      <c r="D849" s="20" t="s">
        <v>2459</v>
      </c>
    </row>
    <row r="850" spans="2:4" x14ac:dyDescent="0.2">
      <c r="B850" s="35" t="s">
        <v>2011</v>
      </c>
      <c r="C850" s="80" t="s">
        <v>1061</v>
      </c>
      <c r="D850" s="20" t="s">
        <v>2459</v>
      </c>
    </row>
    <row r="851" spans="2:4" x14ac:dyDescent="0.2">
      <c r="B851" s="35" t="s">
        <v>2012</v>
      </c>
      <c r="C851" s="3" t="s">
        <v>1062</v>
      </c>
      <c r="D851" s="20" t="s">
        <v>2460</v>
      </c>
    </row>
    <row r="852" spans="2:4" x14ac:dyDescent="0.2">
      <c r="B852" s="35" t="s">
        <v>2733</v>
      </c>
      <c r="C852" s="3" t="s">
        <v>1063</v>
      </c>
      <c r="D852" s="20" t="s">
        <v>2460</v>
      </c>
    </row>
    <row r="853" spans="2:4" x14ac:dyDescent="0.2">
      <c r="B853" s="35" t="s">
        <v>2013</v>
      </c>
      <c r="C853" s="76" t="s">
        <v>1064</v>
      </c>
      <c r="D853" s="20" t="s">
        <v>2463</v>
      </c>
    </row>
    <row r="854" spans="2:4" x14ac:dyDescent="0.2">
      <c r="B854" s="35" t="s">
        <v>2014</v>
      </c>
      <c r="C854" s="77" t="s">
        <v>1065</v>
      </c>
      <c r="D854" s="20" t="s">
        <v>2463</v>
      </c>
    </row>
    <row r="855" spans="2:4" x14ac:dyDescent="0.2">
      <c r="B855" s="35" t="s">
        <v>2734</v>
      </c>
      <c r="C855" s="77" t="s">
        <v>2016</v>
      </c>
      <c r="D855" s="20" t="s">
        <v>2463</v>
      </c>
    </row>
    <row r="856" spans="2:4" x14ac:dyDescent="0.2">
      <c r="B856" s="35" t="s">
        <v>2015</v>
      </c>
      <c r="C856" s="77" t="s">
        <v>86</v>
      </c>
      <c r="D856" s="20" t="s">
        <v>2463</v>
      </c>
    </row>
    <row r="857" spans="2:4" x14ac:dyDescent="0.2">
      <c r="B857" s="35" t="s">
        <v>2017</v>
      </c>
      <c r="C857" s="80" t="s">
        <v>1066</v>
      </c>
      <c r="D857" s="20" t="s">
        <v>2459</v>
      </c>
    </row>
    <row r="858" spans="2:4" x14ac:dyDescent="0.2">
      <c r="B858" s="35" t="s">
        <v>2018</v>
      </c>
      <c r="C858" s="3" t="s">
        <v>1067</v>
      </c>
      <c r="D858" s="20" t="s">
        <v>2460</v>
      </c>
    </row>
    <row r="859" spans="2:4" x14ac:dyDescent="0.2">
      <c r="B859" s="35" t="s">
        <v>2019</v>
      </c>
      <c r="C859" s="3" t="s">
        <v>402</v>
      </c>
      <c r="D859" s="20" t="s">
        <v>2460</v>
      </c>
    </row>
    <row r="860" spans="2:4" x14ac:dyDescent="0.2">
      <c r="B860" s="35" t="s">
        <v>2641</v>
      </c>
      <c r="C860" s="80" t="s">
        <v>1068</v>
      </c>
      <c r="D860" s="20" t="s">
        <v>2459</v>
      </c>
    </row>
    <row r="861" spans="2:4" x14ac:dyDescent="0.2">
      <c r="B861" s="35" t="s">
        <v>2020</v>
      </c>
      <c r="C861" s="3" t="s">
        <v>1069</v>
      </c>
      <c r="D861" s="20" t="s">
        <v>2460</v>
      </c>
    </row>
    <row r="862" spans="2:4" x14ac:dyDescent="0.2">
      <c r="B862" s="35" t="s">
        <v>2021</v>
      </c>
      <c r="C862" s="80" t="s">
        <v>1070</v>
      </c>
      <c r="D862" s="20" t="s">
        <v>2459</v>
      </c>
    </row>
    <row r="863" spans="2:4" x14ac:dyDescent="0.2">
      <c r="B863" s="35" t="s">
        <v>2022</v>
      </c>
      <c r="C863" s="71" t="s">
        <v>1071</v>
      </c>
      <c r="D863" s="20" t="s">
        <v>2458</v>
      </c>
    </row>
    <row r="864" spans="2:4" x14ac:dyDescent="0.2">
      <c r="B864" s="35" t="s">
        <v>2023</v>
      </c>
      <c r="C864" s="71" t="s">
        <v>1072</v>
      </c>
      <c r="D864" s="20" t="s">
        <v>2458</v>
      </c>
    </row>
    <row r="865" spans="2:4" x14ac:dyDescent="0.2">
      <c r="B865" s="35" t="s">
        <v>2024</v>
      </c>
      <c r="C865" s="71" t="s">
        <v>1073</v>
      </c>
      <c r="D865" s="20" t="s">
        <v>2458</v>
      </c>
    </row>
    <row r="866" spans="2:4" x14ac:dyDescent="0.2">
      <c r="B866" s="35" t="s">
        <v>2735</v>
      </c>
      <c r="C866" s="71" t="s">
        <v>1074</v>
      </c>
      <c r="D866" s="20" t="s">
        <v>2458</v>
      </c>
    </row>
    <row r="867" spans="2:4" x14ac:dyDescent="0.2">
      <c r="B867" s="35" t="s">
        <v>2025</v>
      </c>
      <c r="C867" s="71" t="s">
        <v>403</v>
      </c>
      <c r="D867" s="20" t="s">
        <v>2458</v>
      </c>
    </row>
    <row r="868" spans="2:4" x14ac:dyDescent="0.2">
      <c r="B868" s="35" t="s">
        <v>2026</v>
      </c>
      <c r="C868" s="80" t="s">
        <v>1075</v>
      </c>
      <c r="D868" s="20" t="s">
        <v>2459</v>
      </c>
    </row>
    <row r="869" spans="2:4" x14ac:dyDescent="0.2">
      <c r="B869" s="35" t="s">
        <v>2027</v>
      </c>
      <c r="C869" s="80" t="s">
        <v>1076</v>
      </c>
      <c r="D869" s="20" t="s">
        <v>2459</v>
      </c>
    </row>
    <row r="870" spans="2:4" x14ac:dyDescent="0.2">
      <c r="B870" s="35" t="s">
        <v>2028</v>
      </c>
      <c r="C870" s="77" t="s">
        <v>1077</v>
      </c>
      <c r="D870" s="20" t="s">
        <v>2461</v>
      </c>
    </row>
    <row r="871" spans="2:4" x14ac:dyDescent="0.2">
      <c r="B871" s="35" t="s">
        <v>2029</v>
      </c>
      <c r="C871" s="77" t="s">
        <v>1078</v>
      </c>
      <c r="D871" s="20" t="s">
        <v>2461</v>
      </c>
    </row>
    <row r="872" spans="2:4" x14ac:dyDescent="0.2">
      <c r="B872" s="35" t="s">
        <v>2030</v>
      </c>
      <c r="C872" s="71" t="s">
        <v>1079</v>
      </c>
      <c r="D872" s="20" t="s">
        <v>2458</v>
      </c>
    </row>
    <row r="873" spans="2:4" x14ac:dyDescent="0.2">
      <c r="B873" s="35" t="s">
        <v>2031</v>
      </c>
      <c r="C873" s="77" t="s">
        <v>87</v>
      </c>
      <c r="D873" s="20" t="s">
        <v>2463</v>
      </c>
    </row>
    <row r="874" spans="2:4" x14ac:dyDescent="0.2">
      <c r="B874" s="35" t="s">
        <v>2032</v>
      </c>
      <c r="C874" s="3" t="s">
        <v>1080</v>
      </c>
      <c r="D874" s="20" t="s">
        <v>2460</v>
      </c>
    </row>
    <row r="875" spans="2:4" x14ac:dyDescent="0.2">
      <c r="B875" s="35" t="s">
        <v>2033</v>
      </c>
      <c r="C875" s="3" t="s">
        <v>88</v>
      </c>
      <c r="D875" s="20" t="s">
        <v>2460</v>
      </c>
    </row>
    <row r="876" spans="2:4" x14ac:dyDescent="0.2">
      <c r="B876" s="35" t="s">
        <v>2034</v>
      </c>
      <c r="C876" s="3" t="s">
        <v>1081</v>
      </c>
      <c r="D876" s="20" t="s">
        <v>2460</v>
      </c>
    </row>
    <row r="877" spans="2:4" x14ac:dyDescent="0.2">
      <c r="B877" s="35" t="s">
        <v>2035</v>
      </c>
      <c r="C877" s="3" t="s">
        <v>206</v>
      </c>
      <c r="D877" s="20" t="s">
        <v>2460</v>
      </c>
    </row>
    <row r="878" spans="2:4" x14ac:dyDescent="0.2">
      <c r="B878" s="35" t="s">
        <v>2036</v>
      </c>
      <c r="C878" s="3" t="s">
        <v>1082</v>
      </c>
      <c r="D878" s="20" t="s">
        <v>2460</v>
      </c>
    </row>
    <row r="879" spans="2:4" x14ac:dyDescent="0.2">
      <c r="B879" s="35" t="s">
        <v>2037</v>
      </c>
      <c r="C879" s="77" t="s">
        <v>1083</v>
      </c>
      <c r="D879" s="20" t="s">
        <v>2463</v>
      </c>
    </row>
    <row r="880" spans="2:4" x14ac:dyDescent="0.2">
      <c r="B880" s="3" t="s">
        <v>2038</v>
      </c>
      <c r="C880" s="3" t="s">
        <v>1084</v>
      </c>
      <c r="D880" s="20" t="s">
        <v>2460</v>
      </c>
    </row>
    <row r="881" spans="2:4" x14ac:dyDescent="0.2">
      <c r="B881" s="3" t="s">
        <v>2736</v>
      </c>
      <c r="C881" s="3" t="s">
        <v>2737</v>
      </c>
      <c r="D881" s="20" t="s">
        <v>175</v>
      </c>
    </row>
    <row r="882" spans="2:4" x14ac:dyDescent="0.2">
      <c r="B882" s="3" t="s">
        <v>2039</v>
      </c>
      <c r="C882" s="77" t="s">
        <v>1085</v>
      </c>
      <c r="D882" s="20" t="s">
        <v>2463</v>
      </c>
    </row>
    <row r="883" spans="2:4" x14ac:dyDescent="0.2">
      <c r="B883" s="3" t="s">
        <v>2040</v>
      </c>
      <c r="C883" s="3" t="s">
        <v>1086</v>
      </c>
      <c r="D883" s="20" t="s">
        <v>2460</v>
      </c>
    </row>
    <row r="884" spans="2:4" x14ac:dyDescent="0.2">
      <c r="B884" s="3" t="s">
        <v>2041</v>
      </c>
      <c r="C884" s="3" t="s">
        <v>1087</v>
      </c>
      <c r="D884" s="20" t="s">
        <v>2460</v>
      </c>
    </row>
    <row r="885" spans="2:4" x14ac:dyDescent="0.2">
      <c r="B885" s="3" t="s">
        <v>2042</v>
      </c>
      <c r="C885" s="80" t="s">
        <v>1088</v>
      </c>
      <c r="D885" s="20" t="s">
        <v>2459</v>
      </c>
    </row>
    <row r="886" spans="2:4" x14ac:dyDescent="0.2">
      <c r="B886" s="3" t="s">
        <v>2043</v>
      </c>
      <c r="C886" s="71" t="s">
        <v>404</v>
      </c>
      <c r="D886" s="20" t="s">
        <v>2458</v>
      </c>
    </row>
    <row r="887" spans="2:4" x14ac:dyDescent="0.2">
      <c r="B887" s="3" t="s">
        <v>2044</v>
      </c>
      <c r="C887" s="77" t="s">
        <v>1089</v>
      </c>
      <c r="D887" s="20" t="s">
        <v>2463</v>
      </c>
    </row>
    <row r="888" spans="2:4" x14ac:dyDescent="0.2">
      <c r="B888" s="3" t="s">
        <v>2573</v>
      </c>
      <c r="C888" s="71" t="s">
        <v>2616</v>
      </c>
      <c r="D888" s="20" t="s">
        <v>2458</v>
      </c>
    </row>
    <row r="889" spans="2:4" x14ac:dyDescent="0.2">
      <c r="B889" s="3" t="s">
        <v>2553</v>
      </c>
      <c r="C889" s="80" t="s">
        <v>2595</v>
      </c>
      <c r="D889" s="20" t="s">
        <v>2459</v>
      </c>
    </row>
    <row r="890" spans="2:4" x14ac:dyDescent="0.2">
      <c r="B890" s="3" t="s">
        <v>2045</v>
      </c>
      <c r="C890" s="3" t="s">
        <v>172</v>
      </c>
      <c r="D890" s="20" t="s">
        <v>2460</v>
      </c>
    </row>
    <row r="891" spans="2:4" x14ac:dyDescent="0.2">
      <c r="B891" s="3" t="s">
        <v>2046</v>
      </c>
      <c r="C891" s="71" t="s">
        <v>405</v>
      </c>
      <c r="D891" s="20" t="s">
        <v>2458</v>
      </c>
    </row>
    <row r="892" spans="2:4" x14ac:dyDescent="0.2">
      <c r="B892" s="3" t="s">
        <v>2047</v>
      </c>
      <c r="C892" s="80" t="s">
        <v>406</v>
      </c>
      <c r="D892" s="20" t="s">
        <v>2459</v>
      </c>
    </row>
    <row r="893" spans="2:4" x14ac:dyDescent="0.2">
      <c r="B893" s="3" t="s">
        <v>2048</v>
      </c>
      <c r="C893" s="3" t="s">
        <v>407</v>
      </c>
      <c r="D893" s="20" t="s">
        <v>2460</v>
      </c>
    </row>
    <row r="894" spans="2:4" x14ac:dyDescent="0.2">
      <c r="B894" s="3" t="s">
        <v>2738</v>
      </c>
      <c r="C894" s="3" t="s">
        <v>408</v>
      </c>
      <c r="D894" s="20" t="s">
        <v>175</v>
      </c>
    </row>
    <row r="895" spans="2:4" x14ac:dyDescent="0.2">
      <c r="B895" s="3" t="s">
        <v>2049</v>
      </c>
      <c r="C895" s="83" t="s">
        <v>1090</v>
      </c>
      <c r="D895" s="20" t="s">
        <v>2460</v>
      </c>
    </row>
    <row r="896" spans="2:4" x14ac:dyDescent="0.2">
      <c r="B896" s="3" t="s">
        <v>2050</v>
      </c>
      <c r="C896" s="65" t="s">
        <v>89</v>
      </c>
      <c r="D896" s="20" t="s">
        <v>2463</v>
      </c>
    </row>
    <row r="897" spans="2:4" x14ac:dyDescent="0.2">
      <c r="B897" s="3" t="s">
        <v>2051</v>
      </c>
      <c r="C897" s="3" t="s">
        <v>1091</v>
      </c>
      <c r="D897" s="20" t="s">
        <v>2460</v>
      </c>
    </row>
    <row r="898" spans="2:4" x14ac:dyDescent="0.2">
      <c r="B898" s="3" t="s">
        <v>2052</v>
      </c>
      <c r="C898" s="80" t="s">
        <v>1092</v>
      </c>
      <c r="D898" s="20" t="s">
        <v>2459</v>
      </c>
    </row>
    <row r="899" spans="2:4" x14ac:dyDescent="0.2">
      <c r="B899" s="3" t="s">
        <v>2053</v>
      </c>
      <c r="C899" s="3" t="s">
        <v>1093</v>
      </c>
      <c r="D899" s="20" t="s">
        <v>2460</v>
      </c>
    </row>
    <row r="900" spans="2:4" x14ac:dyDescent="0.2">
      <c r="B900" s="3" t="s">
        <v>2054</v>
      </c>
      <c r="C900" s="80" t="s">
        <v>1094</v>
      </c>
      <c r="D900" s="20" t="s">
        <v>2459</v>
      </c>
    </row>
    <row r="901" spans="2:4" x14ac:dyDescent="0.2">
      <c r="B901" s="3" t="s">
        <v>2055</v>
      </c>
      <c r="C901" s="3" t="s">
        <v>409</v>
      </c>
      <c r="D901" s="20" t="s">
        <v>2460</v>
      </c>
    </row>
    <row r="902" spans="2:4" x14ac:dyDescent="0.2">
      <c r="B902" s="3" t="s">
        <v>2056</v>
      </c>
      <c r="C902" s="3" t="s">
        <v>410</v>
      </c>
      <c r="D902" s="20" t="s">
        <v>2460</v>
      </c>
    </row>
    <row r="903" spans="2:4" x14ac:dyDescent="0.2">
      <c r="B903" s="3" t="s">
        <v>2057</v>
      </c>
      <c r="C903" s="80" t="s">
        <v>1095</v>
      </c>
      <c r="D903" s="20" t="s">
        <v>2459</v>
      </c>
    </row>
    <row r="904" spans="2:4" x14ac:dyDescent="0.2">
      <c r="B904" s="3" t="s">
        <v>2058</v>
      </c>
      <c r="C904" s="3" t="s">
        <v>1096</v>
      </c>
      <c r="D904" s="20" t="s">
        <v>2460</v>
      </c>
    </row>
    <row r="905" spans="2:4" x14ac:dyDescent="0.2">
      <c r="B905" s="3" t="s">
        <v>2590</v>
      </c>
      <c r="C905" s="71" t="s">
        <v>2633</v>
      </c>
      <c r="D905" s="20" t="s">
        <v>2458</v>
      </c>
    </row>
    <row r="906" spans="2:4" x14ac:dyDescent="0.2">
      <c r="B906" s="3" t="s">
        <v>2570</v>
      </c>
      <c r="C906" s="80" t="s">
        <v>2613</v>
      </c>
      <c r="D906" s="20" t="s">
        <v>2459</v>
      </c>
    </row>
    <row r="907" spans="2:4" x14ac:dyDescent="0.2">
      <c r="B907" s="3" t="s">
        <v>2739</v>
      </c>
      <c r="C907" s="3" t="s">
        <v>1097</v>
      </c>
      <c r="D907" s="20" t="s">
        <v>175</v>
      </c>
    </row>
    <row r="908" spans="2:4" x14ac:dyDescent="0.2">
      <c r="B908" s="3" t="s">
        <v>2059</v>
      </c>
      <c r="C908" s="65" t="s">
        <v>90</v>
      </c>
      <c r="D908" s="20" t="s">
        <v>2461</v>
      </c>
    </row>
    <row r="909" spans="2:4" x14ac:dyDescent="0.2">
      <c r="B909" s="3" t="s">
        <v>2056</v>
      </c>
      <c r="C909" s="3" t="s">
        <v>173</v>
      </c>
      <c r="D909" s="20" t="s">
        <v>2460</v>
      </c>
    </row>
    <row r="910" spans="2:4" x14ac:dyDescent="0.2">
      <c r="B910" s="3" t="s">
        <v>2060</v>
      </c>
      <c r="C910" s="71" t="s">
        <v>1098</v>
      </c>
      <c r="D910" s="20" t="s">
        <v>2458</v>
      </c>
    </row>
    <row r="911" spans="2:4" x14ac:dyDescent="0.2">
      <c r="B911" s="3" t="s">
        <v>2061</v>
      </c>
      <c r="C911" s="71" t="s">
        <v>1099</v>
      </c>
      <c r="D911" s="20" t="s">
        <v>2458</v>
      </c>
    </row>
    <row r="912" spans="2:4" x14ac:dyDescent="0.2">
      <c r="B912" s="3" t="s">
        <v>2062</v>
      </c>
      <c r="C912" s="80" t="s">
        <v>1100</v>
      </c>
      <c r="D912" s="20" t="s">
        <v>2459</v>
      </c>
    </row>
    <row r="913" spans="2:4" x14ac:dyDescent="0.2">
      <c r="B913" s="3" t="s">
        <v>2063</v>
      </c>
      <c r="C913" s="80" t="s">
        <v>1101</v>
      </c>
      <c r="D913" s="20" t="s">
        <v>2459</v>
      </c>
    </row>
    <row r="914" spans="2:4" x14ac:dyDescent="0.2">
      <c r="B914" s="3" t="s">
        <v>2064</v>
      </c>
      <c r="C914" s="3" t="s">
        <v>1102</v>
      </c>
      <c r="D914" s="20" t="s">
        <v>2460</v>
      </c>
    </row>
    <row r="915" spans="2:4" x14ac:dyDescent="0.2">
      <c r="B915" s="3" t="s">
        <v>2065</v>
      </c>
      <c r="C915" s="65" t="s">
        <v>411</v>
      </c>
      <c r="D915" s="20" t="s">
        <v>2461</v>
      </c>
    </row>
    <row r="916" spans="2:4" x14ac:dyDescent="0.2">
      <c r="B916" s="3" t="s">
        <v>2066</v>
      </c>
      <c r="C916" s="80" t="s">
        <v>1103</v>
      </c>
      <c r="D916" s="20" t="s">
        <v>2459</v>
      </c>
    </row>
    <row r="917" spans="2:4" x14ac:dyDescent="0.2">
      <c r="B917" s="3" t="s">
        <v>2067</v>
      </c>
      <c r="C917" s="3" t="s">
        <v>1104</v>
      </c>
      <c r="D917" s="20" t="s">
        <v>2460</v>
      </c>
    </row>
    <row r="918" spans="2:4" x14ac:dyDescent="0.2">
      <c r="B918" s="3" t="s">
        <v>2068</v>
      </c>
      <c r="C918" s="3" t="s">
        <v>1105</v>
      </c>
      <c r="D918" s="20" t="s">
        <v>2460</v>
      </c>
    </row>
    <row r="919" spans="2:4" x14ac:dyDescent="0.2">
      <c r="B919" s="3" t="s">
        <v>2069</v>
      </c>
      <c r="C919" t="s">
        <v>412</v>
      </c>
      <c r="D919" s="20" t="s">
        <v>2460</v>
      </c>
    </row>
    <row r="920" spans="2:4" x14ac:dyDescent="0.2">
      <c r="B920" s="3" t="s">
        <v>2070</v>
      </c>
      <c r="C920" s="3" t="s">
        <v>91</v>
      </c>
      <c r="D920" s="20" t="s">
        <v>2460</v>
      </c>
    </row>
    <row r="921" spans="2:4" x14ac:dyDescent="0.2">
      <c r="B921" s="3" t="s">
        <v>2740</v>
      </c>
      <c r="C921" s="2" t="s">
        <v>1106</v>
      </c>
      <c r="D921" s="20" t="s">
        <v>2460</v>
      </c>
    </row>
    <row r="922" spans="2:4" x14ac:dyDescent="0.2">
      <c r="B922" s="3" t="s">
        <v>2071</v>
      </c>
      <c r="C922" s="80" t="s">
        <v>1107</v>
      </c>
      <c r="D922" s="20" t="s">
        <v>2459</v>
      </c>
    </row>
    <row r="923" spans="2:4" x14ac:dyDescent="0.2">
      <c r="B923" s="3" t="s">
        <v>2072</v>
      </c>
      <c r="C923" s="80" t="s">
        <v>1108</v>
      </c>
      <c r="D923" s="20" t="s">
        <v>2459</v>
      </c>
    </row>
    <row r="924" spans="2:4" x14ac:dyDescent="0.2">
      <c r="B924" s="3" t="s">
        <v>2073</v>
      </c>
      <c r="C924" s="80" t="s">
        <v>1109</v>
      </c>
      <c r="D924" s="20" t="s">
        <v>2459</v>
      </c>
    </row>
    <row r="925" spans="2:4" x14ac:dyDescent="0.2">
      <c r="B925" s="3" t="s">
        <v>2074</v>
      </c>
      <c r="C925" s="75" t="s">
        <v>92</v>
      </c>
      <c r="D925" s="20" t="s">
        <v>2463</v>
      </c>
    </row>
    <row r="926" spans="2:4" x14ac:dyDescent="0.2">
      <c r="B926" s="3" t="s">
        <v>2077</v>
      </c>
      <c r="C926" s="75" t="s">
        <v>2076</v>
      </c>
      <c r="D926" s="20" t="s">
        <v>2463</v>
      </c>
    </row>
    <row r="927" spans="2:4" x14ac:dyDescent="0.2">
      <c r="B927" s="3" t="s">
        <v>2075</v>
      </c>
      <c r="C927" s="75" t="s">
        <v>1110</v>
      </c>
      <c r="D927" s="20" t="s">
        <v>2463</v>
      </c>
    </row>
    <row r="928" spans="2:4" x14ac:dyDescent="0.2">
      <c r="B928" s="3" t="s">
        <v>2078</v>
      </c>
      <c r="C928" s="75" t="s">
        <v>93</v>
      </c>
      <c r="D928" s="20" t="s">
        <v>2461</v>
      </c>
    </row>
    <row r="929" spans="2:4" x14ac:dyDescent="0.2">
      <c r="B929" s="3" t="s">
        <v>2079</v>
      </c>
      <c r="C929" s="75" t="s">
        <v>413</v>
      </c>
      <c r="D929" s="20" t="s">
        <v>2463</v>
      </c>
    </row>
    <row r="930" spans="2:4" x14ac:dyDescent="0.2">
      <c r="B930" s="3" t="s">
        <v>2080</v>
      </c>
      <c r="C930" s="75" t="s">
        <v>414</v>
      </c>
      <c r="D930" s="20" t="s">
        <v>2463</v>
      </c>
    </row>
    <row r="931" spans="2:4" x14ac:dyDescent="0.2">
      <c r="B931" s="3" t="s">
        <v>2081</v>
      </c>
      <c r="C931" s="80" t="s">
        <v>1111</v>
      </c>
      <c r="D931" s="20" t="s">
        <v>2459</v>
      </c>
    </row>
    <row r="932" spans="2:4" x14ac:dyDescent="0.2">
      <c r="B932" s="3" t="s">
        <v>2082</v>
      </c>
      <c r="C932" s="75" t="s">
        <v>1112</v>
      </c>
      <c r="D932" s="20" t="s">
        <v>2461</v>
      </c>
    </row>
    <row r="933" spans="2:4" x14ac:dyDescent="0.2">
      <c r="B933" s="3" t="s">
        <v>2083</v>
      </c>
      <c r="C933" s="75" t="s">
        <v>1113</v>
      </c>
      <c r="D933" s="20" t="s">
        <v>2461</v>
      </c>
    </row>
    <row r="934" spans="2:4" x14ac:dyDescent="0.2">
      <c r="B934" s="3" t="s">
        <v>2084</v>
      </c>
      <c r="C934" s="80" t="s">
        <v>1114</v>
      </c>
      <c r="D934" s="20" t="s">
        <v>2459</v>
      </c>
    </row>
    <row r="935" spans="2:4" x14ac:dyDescent="0.2">
      <c r="B935" s="3" t="s">
        <v>2085</v>
      </c>
      <c r="C935" s="80" t="s">
        <v>1115</v>
      </c>
      <c r="D935" s="20" t="s">
        <v>2459</v>
      </c>
    </row>
    <row r="936" spans="2:4" x14ac:dyDescent="0.2">
      <c r="B936" s="3" t="s">
        <v>2086</v>
      </c>
      <c r="C936" s="71" t="s">
        <v>1116</v>
      </c>
      <c r="D936" s="20" t="s">
        <v>2458</v>
      </c>
    </row>
    <row r="937" spans="2:4" x14ac:dyDescent="0.2">
      <c r="B937" s="3" t="s">
        <v>2741</v>
      </c>
      <c r="C937" s="3" t="s">
        <v>1117</v>
      </c>
      <c r="D937" s="20" t="s">
        <v>175</v>
      </c>
    </row>
    <row r="938" spans="2:4" x14ac:dyDescent="0.2">
      <c r="B938" s="3" t="s">
        <v>2087</v>
      </c>
      <c r="C938" s="71" t="s">
        <v>1118</v>
      </c>
      <c r="D938" s="20" t="s">
        <v>2458</v>
      </c>
    </row>
    <row r="939" spans="2:4" x14ac:dyDescent="0.2">
      <c r="B939" s="3" t="s">
        <v>2088</v>
      </c>
      <c r="C939" s="71" t="s">
        <v>1119</v>
      </c>
      <c r="D939" s="20" t="s">
        <v>2458</v>
      </c>
    </row>
    <row r="940" spans="2:4" x14ac:dyDescent="0.2">
      <c r="B940" s="3" t="s">
        <v>2089</v>
      </c>
      <c r="C940" s="77" t="s">
        <v>1120</v>
      </c>
      <c r="D940" s="20" t="s">
        <v>2463</v>
      </c>
    </row>
    <row r="941" spans="2:4" x14ac:dyDescent="0.2">
      <c r="B941" s="3" t="s">
        <v>2090</v>
      </c>
      <c r="C941" s="77" t="s">
        <v>1121</v>
      </c>
      <c r="D941" s="20" t="s">
        <v>2463</v>
      </c>
    </row>
    <row r="942" spans="2:4" x14ac:dyDescent="0.2">
      <c r="B942" s="3" t="s">
        <v>2091</v>
      </c>
      <c r="C942" s="77" t="s">
        <v>1122</v>
      </c>
      <c r="D942" s="20" t="s">
        <v>2462</v>
      </c>
    </row>
    <row r="943" spans="2:4" x14ac:dyDescent="0.2">
      <c r="B943" s="3" t="s">
        <v>2092</v>
      </c>
      <c r="C943" s="71" t="s">
        <v>1123</v>
      </c>
      <c r="D943" s="20" t="s">
        <v>2458</v>
      </c>
    </row>
    <row r="944" spans="2:4" x14ac:dyDescent="0.2">
      <c r="B944" s="3" t="s">
        <v>2093</v>
      </c>
      <c r="C944" s="71" t="s">
        <v>1124</v>
      </c>
      <c r="D944" s="20" t="s">
        <v>2458</v>
      </c>
    </row>
    <row r="945" spans="2:4" x14ac:dyDescent="0.2">
      <c r="B945" s="3" t="s">
        <v>2094</v>
      </c>
      <c r="C945" s="80" t="s">
        <v>415</v>
      </c>
      <c r="D945" s="20" t="s">
        <v>2459</v>
      </c>
    </row>
    <row r="946" spans="2:4" x14ac:dyDescent="0.2">
      <c r="B946" s="3" t="s">
        <v>2095</v>
      </c>
      <c r="C946" s="71" t="s">
        <v>1125</v>
      </c>
      <c r="D946" s="20" t="s">
        <v>2458</v>
      </c>
    </row>
    <row r="947" spans="2:4" x14ac:dyDescent="0.2">
      <c r="B947" s="3" t="s">
        <v>2096</v>
      </c>
      <c r="C947" s="71" t="s">
        <v>1126</v>
      </c>
      <c r="D947" s="20" t="s">
        <v>2458</v>
      </c>
    </row>
    <row r="948" spans="2:4" x14ac:dyDescent="0.2">
      <c r="B948" s="3" t="s">
        <v>2097</v>
      </c>
      <c r="C948" s="80" t="s">
        <v>1127</v>
      </c>
      <c r="D948" s="20" t="s">
        <v>2459</v>
      </c>
    </row>
    <row r="949" spans="2:4" x14ac:dyDescent="0.2">
      <c r="B949" s="3" t="s">
        <v>2098</v>
      </c>
      <c r="C949" s="71" t="s">
        <v>1128</v>
      </c>
      <c r="D949" s="20" t="s">
        <v>2458</v>
      </c>
    </row>
    <row r="950" spans="2:4" x14ac:dyDescent="0.2">
      <c r="B950" s="3" t="s">
        <v>2742</v>
      </c>
      <c r="C950" s="3" t="s">
        <v>1129</v>
      </c>
      <c r="D950" s="20" t="s">
        <v>175</v>
      </c>
    </row>
    <row r="951" spans="2:4" x14ac:dyDescent="0.2">
      <c r="B951" s="3" t="s">
        <v>2099</v>
      </c>
      <c r="C951" s="80" t="s">
        <v>1130</v>
      </c>
      <c r="D951" s="20" t="s">
        <v>2459</v>
      </c>
    </row>
    <row r="952" spans="2:4" x14ac:dyDescent="0.2">
      <c r="B952" s="3" t="s">
        <v>2100</v>
      </c>
      <c r="C952" s="71" t="s">
        <v>1131</v>
      </c>
      <c r="D952" s="20" t="s">
        <v>2458</v>
      </c>
    </row>
    <row r="953" spans="2:4" x14ac:dyDescent="0.2">
      <c r="B953" s="3" t="s">
        <v>2101</v>
      </c>
      <c r="C953" s="71" t="s">
        <v>416</v>
      </c>
      <c r="D953" s="20" t="s">
        <v>2458</v>
      </c>
    </row>
    <row r="954" spans="2:4" x14ac:dyDescent="0.2">
      <c r="B954" s="3" t="s">
        <v>2102</v>
      </c>
      <c r="C954" s="3" t="s">
        <v>1132</v>
      </c>
      <c r="D954" s="20" t="s">
        <v>2460</v>
      </c>
    </row>
    <row r="955" spans="2:4" x14ac:dyDescent="0.2">
      <c r="B955" s="3" t="s">
        <v>2103</v>
      </c>
      <c r="C955" s="3" t="s">
        <v>417</v>
      </c>
      <c r="D955" s="20" t="s">
        <v>2460</v>
      </c>
    </row>
    <row r="956" spans="2:4" x14ac:dyDescent="0.2">
      <c r="B956" s="3" t="s">
        <v>2104</v>
      </c>
      <c r="C956" s="3" t="s">
        <v>418</v>
      </c>
      <c r="D956" s="20" t="s">
        <v>2460</v>
      </c>
    </row>
    <row r="957" spans="2:4" x14ac:dyDescent="0.2">
      <c r="B957" s="3" t="s">
        <v>2105</v>
      </c>
      <c r="C957" s="71" t="s">
        <v>174</v>
      </c>
      <c r="D957" s="20" t="s">
        <v>2458</v>
      </c>
    </row>
    <row r="958" spans="2:4" x14ac:dyDescent="0.2">
      <c r="B958" s="3" t="s">
        <v>2106</v>
      </c>
      <c r="C958" s="79" t="s">
        <v>94</v>
      </c>
      <c r="D958" s="20" t="s">
        <v>2460</v>
      </c>
    </row>
    <row r="959" spans="2:4" x14ac:dyDescent="0.2">
      <c r="B959" s="3" t="s">
        <v>2107</v>
      </c>
      <c r="C959" s="77" t="s">
        <v>95</v>
      </c>
      <c r="D959" s="20" t="s">
        <v>2462</v>
      </c>
    </row>
    <row r="960" spans="2:4" x14ac:dyDescent="0.2">
      <c r="B960" s="3" t="s">
        <v>2743</v>
      </c>
      <c r="C960" s="3" t="s">
        <v>1133</v>
      </c>
      <c r="D960" s="20" t="s">
        <v>175</v>
      </c>
    </row>
    <row r="961" spans="2:4" x14ac:dyDescent="0.2">
      <c r="B961" s="3" t="s">
        <v>2108</v>
      </c>
      <c r="C961" s="71" t="s">
        <v>419</v>
      </c>
      <c r="D961" s="20" t="s">
        <v>2458</v>
      </c>
    </row>
    <row r="962" spans="2:4" x14ac:dyDescent="0.2">
      <c r="B962" s="3" t="s">
        <v>2109</v>
      </c>
      <c r="C962" s="71" t="s">
        <v>1134</v>
      </c>
      <c r="D962" s="20" t="s">
        <v>2458</v>
      </c>
    </row>
    <row r="963" spans="2:4" x14ac:dyDescent="0.2">
      <c r="B963" s="3" t="s">
        <v>2110</v>
      </c>
      <c r="C963" s="71" t="s">
        <v>1135</v>
      </c>
      <c r="D963" s="20" t="s">
        <v>2458</v>
      </c>
    </row>
    <row r="964" spans="2:4" x14ac:dyDescent="0.2">
      <c r="B964" s="3" t="s">
        <v>2111</v>
      </c>
      <c r="C964" s="78" t="s">
        <v>1136</v>
      </c>
      <c r="D964" s="20" t="s">
        <v>2459</v>
      </c>
    </row>
    <row r="965" spans="2:4" x14ac:dyDescent="0.2">
      <c r="B965" s="3" t="s">
        <v>2112</v>
      </c>
      <c r="C965" s="80" t="s">
        <v>1137</v>
      </c>
      <c r="D965" s="20" t="s">
        <v>2459</v>
      </c>
    </row>
    <row r="966" spans="2:4" x14ac:dyDescent="0.2">
      <c r="B966" s="3" t="s">
        <v>2113</v>
      </c>
      <c r="C966" s="70" t="s">
        <v>1138</v>
      </c>
      <c r="D966" s="20" t="s">
        <v>2458</v>
      </c>
    </row>
    <row r="967" spans="2:4" x14ac:dyDescent="0.2">
      <c r="B967" s="3" t="s">
        <v>2114</v>
      </c>
      <c r="C967" s="75" t="s">
        <v>96</v>
      </c>
      <c r="D967" s="20" t="s">
        <v>2463</v>
      </c>
    </row>
    <row r="968" spans="2:4" x14ac:dyDescent="0.2">
      <c r="B968" s="3" t="s">
        <v>2593</v>
      </c>
      <c r="C968" s="3" t="s">
        <v>2596</v>
      </c>
      <c r="D968" s="20" t="s">
        <v>2460</v>
      </c>
    </row>
    <row r="969" spans="2:4" x14ac:dyDescent="0.2">
      <c r="B969" s="3" t="s">
        <v>2594</v>
      </c>
      <c r="C969" s="71" t="s">
        <v>2617</v>
      </c>
      <c r="D969" s="20" t="s">
        <v>2458</v>
      </c>
    </row>
    <row r="970" spans="2:4" x14ac:dyDescent="0.2">
      <c r="B970" s="3" t="s">
        <v>2439</v>
      </c>
      <c r="C970" s="83" t="s">
        <v>2440</v>
      </c>
      <c r="D970" s="20" t="s">
        <v>2460</v>
      </c>
    </row>
    <row r="971" spans="2:4" x14ac:dyDescent="0.2">
      <c r="B971" s="3" t="s">
        <v>2574</v>
      </c>
      <c r="C971" s="80" t="s">
        <v>2618</v>
      </c>
      <c r="D971" s="20" t="s">
        <v>2459</v>
      </c>
    </row>
    <row r="972" spans="2:4" x14ac:dyDescent="0.2">
      <c r="B972" s="3" t="s">
        <v>2554</v>
      </c>
      <c r="C972" s="3" t="s">
        <v>2597</v>
      </c>
      <c r="D972" s="20" t="s">
        <v>2460</v>
      </c>
    </row>
    <row r="973" spans="2:4" x14ac:dyDescent="0.2">
      <c r="B973" s="3" t="s">
        <v>2744</v>
      </c>
      <c r="C973" s="3" t="s">
        <v>420</v>
      </c>
      <c r="D973" s="20" t="s">
        <v>175</v>
      </c>
    </row>
    <row r="974" spans="2:4" x14ac:dyDescent="0.2">
      <c r="B974" s="3" t="s">
        <v>2117</v>
      </c>
      <c r="C974" s="71" t="s">
        <v>421</v>
      </c>
      <c r="D974" s="20" t="s">
        <v>2458</v>
      </c>
    </row>
    <row r="975" spans="2:4" x14ac:dyDescent="0.2">
      <c r="B975" s="3" t="s">
        <v>2118</v>
      </c>
      <c r="C975" s="71" t="s">
        <v>1139</v>
      </c>
      <c r="D975" s="20" t="s">
        <v>2458</v>
      </c>
    </row>
    <row r="976" spans="2:4" x14ac:dyDescent="0.2">
      <c r="B976" s="3" t="s">
        <v>2119</v>
      </c>
      <c r="C976" s="71" t="s">
        <v>176</v>
      </c>
      <c r="D976" s="20" t="s">
        <v>2458</v>
      </c>
    </row>
    <row r="977" spans="2:4" x14ac:dyDescent="0.2">
      <c r="B977" s="3" t="s">
        <v>2120</v>
      </c>
      <c r="C977" s="71" t="s">
        <v>422</v>
      </c>
      <c r="D977" s="20" t="s">
        <v>2458</v>
      </c>
    </row>
    <row r="978" spans="2:4" x14ac:dyDescent="0.2">
      <c r="B978" s="3" t="s">
        <v>2121</v>
      </c>
      <c r="C978" s="71" t="s">
        <v>1140</v>
      </c>
      <c r="D978" s="20" t="s">
        <v>2458</v>
      </c>
    </row>
    <row r="979" spans="2:4" x14ac:dyDescent="0.2">
      <c r="B979" s="3" t="s">
        <v>2745</v>
      </c>
      <c r="C979" s="71" t="s">
        <v>1141</v>
      </c>
      <c r="D979" s="20" t="s">
        <v>2458</v>
      </c>
    </row>
    <row r="980" spans="2:4" x14ac:dyDescent="0.2">
      <c r="B980" s="3" t="s">
        <v>2122</v>
      </c>
      <c r="C980" s="80" t="s">
        <v>1142</v>
      </c>
      <c r="D980" s="20" t="s">
        <v>2459</v>
      </c>
    </row>
    <row r="981" spans="2:4" x14ac:dyDescent="0.2">
      <c r="B981" s="3" t="s">
        <v>2123</v>
      </c>
      <c r="C981" s="77" t="s">
        <v>97</v>
      </c>
      <c r="D981" s="20" t="s">
        <v>2463</v>
      </c>
    </row>
    <row r="982" spans="2:4" x14ac:dyDescent="0.2">
      <c r="B982" s="3" t="s">
        <v>2124</v>
      </c>
      <c r="C982" s="71" t="s">
        <v>1143</v>
      </c>
      <c r="D982" s="20" t="s">
        <v>2458</v>
      </c>
    </row>
    <row r="983" spans="2:4" x14ac:dyDescent="0.2">
      <c r="B983" s="3" t="s">
        <v>2125</v>
      </c>
      <c r="C983" s="75" t="s">
        <v>423</v>
      </c>
      <c r="D983" s="20" t="s">
        <v>2462</v>
      </c>
    </row>
    <row r="984" spans="2:4" x14ac:dyDescent="0.2">
      <c r="B984" s="3" t="s">
        <v>2126</v>
      </c>
      <c r="C984" s="75" t="s">
        <v>98</v>
      </c>
      <c r="D984" s="20" t="s">
        <v>2462</v>
      </c>
    </row>
    <row r="985" spans="2:4" x14ac:dyDescent="0.2">
      <c r="B985" s="3" t="s">
        <v>2127</v>
      </c>
      <c r="C985" s="83" t="s">
        <v>424</v>
      </c>
      <c r="D985" s="20" t="s">
        <v>2460</v>
      </c>
    </row>
    <row r="986" spans="2:4" x14ac:dyDescent="0.2">
      <c r="B986" s="3" t="s">
        <v>2128</v>
      </c>
      <c r="C986" s="70" t="s">
        <v>1144</v>
      </c>
      <c r="D986" s="20" t="s">
        <v>2458</v>
      </c>
    </row>
    <row r="987" spans="2:4" x14ac:dyDescent="0.2">
      <c r="B987" s="3" t="s">
        <v>2129</v>
      </c>
      <c r="C987" s="70" t="s">
        <v>1145</v>
      </c>
      <c r="D987" s="20" t="s">
        <v>2458</v>
      </c>
    </row>
    <row r="988" spans="2:4" x14ac:dyDescent="0.2">
      <c r="B988" s="3" t="s">
        <v>2130</v>
      </c>
      <c r="C988" s="75" t="s">
        <v>1146</v>
      </c>
      <c r="D988" s="20" t="s">
        <v>2463</v>
      </c>
    </row>
    <row r="989" spans="2:4" x14ac:dyDescent="0.2">
      <c r="B989" s="3" t="s">
        <v>2746</v>
      </c>
      <c r="C989" s="80" t="s">
        <v>1147</v>
      </c>
      <c r="D989" s="20" t="s">
        <v>2459</v>
      </c>
    </row>
    <row r="990" spans="2:4" x14ac:dyDescent="0.2">
      <c r="B990" s="3" t="s">
        <v>2131</v>
      </c>
      <c r="C990" s="80" t="s">
        <v>1148</v>
      </c>
      <c r="D990" s="20" t="s">
        <v>2459</v>
      </c>
    </row>
    <row r="991" spans="2:4" x14ac:dyDescent="0.2">
      <c r="B991" s="3" t="s">
        <v>2132</v>
      </c>
      <c r="C991" s="80" t="s">
        <v>1149</v>
      </c>
      <c r="D991" s="20" t="s">
        <v>2459</v>
      </c>
    </row>
    <row r="992" spans="2:4" x14ac:dyDescent="0.2">
      <c r="B992" s="3" t="s">
        <v>2133</v>
      </c>
      <c r="C992" s="3" t="s">
        <v>1150</v>
      </c>
      <c r="D992" s="20" t="s">
        <v>2460</v>
      </c>
    </row>
    <row r="993" spans="2:4" x14ac:dyDescent="0.2">
      <c r="B993" s="3" t="s">
        <v>2134</v>
      </c>
      <c r="C993" s="3" t="s">
        <v>177</v>
      </c>
      <c r="D993" s="20" t="s">
        <v>2460</v>
      </c>
    </row>
    <row r="994" spans="2:4" x14ac:dyDescent="0.2">
      <c r="B994" s="3" t="s">
        <v>2747</v>
      </c>
      <c r="C994" s="71" t="s">
        <v>99</v>
      </c>
      <c r="D994" s="20" t="s">
        <v>2458</v>
      </c>
    </row>
    <row r="995" spans="2:4" x14ac:dyDescent="0.2">
      <c r="B995" s="3" t="s">
        <v>2135</v>
      </c>
      <c r="C995" s="3" t="s">
        <v>1151</v>
      </c>
      <c r="D995" s="20" t="s">
        <v>2460</v>
      </c>
    </row>
    <row r="996" spans="2:4" x14ac:dyDescent="0.2">
      <c r="B996" s="3" t="s">
        <v>2136</v>
      </c>
      <c r="C996" s="3" t="s">
        <v>1152</v>
      </c>
      <c r="D996" s="20" t="s">
        <v>2460</v>
      </c>
    </row>
    <row r="997" spans="2:4" x14ac:dyDescent="0.2">
      <c r="B997" s="3" t="s">
        <v>2748</v>
      </c>
      <c r="C997" s="3" t="s">
        <v>1153</v>
      </c>
      <c r="D997" s="20" t="s">
        <v>2460</v>
      </c>
    </row>
    <row r="998" spans="2:4" x14ac:dyDescent="0.2">
      <c r="B998" s="3" t="s">
        <v>2749</v>
      </c>
      <c r="C998" s="65" t="s">
        <v>1154</v>
      </c>
      <c r="D998" s="20" t="s">
        <v>2462</v>
      </c>
    </row>
    <row r="999" spans="2:4" x14ac:dyDescent="0.2">
      <c r="B999" s="3" t="s">
        <v>2137</v>
      </c>
      <c r="C999" s="3" t="s">
        <v>1155</v>
      </c>
      <c r="D999" s="20" t="s">
        <v>2460</v>
      </c>
    </row>
    <row r="1000" spans="2:4" x14ac:dyDescent="0.2">
      <c r="B1000" s="3" t="s">
        <v>2138</v>
      </c>
      <c r="C1000" s="90" t="s">
        <v>1156</v>
      </c>
      <c r="D1000" s="20" t="s">
        <v>2459</v>
      </c>
    </row>
    <row r="1001" spans="2:4" x14ac:dyDescent="0.2">
      <c r="B1001" s="3" t="s">
        <v>2139</v>
      </c>
      <c r="C1001" s="90" t="s">
        <v>1157</v>
      </c>
      <c r="D1001" s="20" t="s">
        <v>2459</v>
      </c>
    </row>
    <row r="1002" spans="2:4" x14ac:dyDescent="0.2">
      <c r="B1002" s="3" t="s">
        <v>2750</v>
      </c>
      <c r="C1002" s="90" t="s">
        <v>1158</v>
      </c>
      <c r="D1002" s="20" t="s">
        <v>2459</v>
      </c>
    </row>
    <row r="1003" spans="2:4" x14ac:dyDescent="0.2">
      <c r="B1003" s="3" t="s">
        <v>2140</v>
      </c>
      <c r="C1003" s="3" t="s">
        <v>1159</v>
      </c>
      <c r="D1003" s="20" t="s">
        <v>2460</v>
      </c>
    </row>
    <row r="1004" spans="2:4" x14ac:dyDescent="0.2">
      <c r="B1004" s="3" t="s">
        <v>2141</v>
      </c>
      <c r="C1004" s="71" t="s">
        <v>1160</v>
      </c>
      <c r="D1004" s="20" t="s">
        <v>2458</v>
      </c>
    </row>
    <row r="1005" spans="2:4" x14ac:dyDescent="0.2">
      <c r="B1005" s="3" t="s">
        <v>2142</v>
      </c>
      <c r="C1005" s="71" t="s">
        <v>1161</v>
      </c>
      <c r="D1005" s="20" t="s">
        <v>2458</v>
      </c>
    </row>
    <row r="1006" spans="2:4" x14ac:dyDescent="0.2">
      <c r="B1006" s="3" t="s">
        <v>2143</v>
      </c>
      <c r="C1006" s="71" t="s">
        <v>1162</v>
      </c>
      <c r="D1006" s="20" t="s">
        <v>2458</v>
      </c>
    </row>
    <row r="1007" spans="2:4" x14ac:dyDescent="0.2">
      <c r="B1007" s="3" t="s">
        <v>2144</v>
      </c>
      <c r="C1007" s="71" t="s">
        <v>1163</v>
      </c>
      <c r="D1007" s="20" t="s">
        <v>2458</v>
      </c>
    </row>
    <row r="1008" spans="2:4" x14ac:dyDescent="0.2">
      <c r="B1008" s="3" t="s">
        <v>2751</v>
      </c>
      <c r="C1008" s="71" t="s">
        <v>192</v>
      </c>
      <c r="D1008" s="20" t="s">
        <v>2458</v>
      </c>
    </row>
    <row r="1009" spans="2:4" x14ac:dyDescent="0.2">
      <c r="B1009" s="3" t="s">
        <v>2146</v>
      </c>
      <c r="C1009" s="71" t="s">
        <v>425</v>
      </c>
      <c r="D1009" s="20" t="s">
        <v>2458</v>
      </c>
    </row>
    <row r="1010" spans="2:4" x14ac:dyDescent="0.2">
      <c r="B1010" s="3" t="s">
        <v>2147</v>
      </c>
      <c r="C1010" s="71" t="s">
        <v>426</v>
      </c>
      <c r="D1010" s="20" t="s">
        <v>2458</v>
      </c>
    </row>
    <row r="1011" spans="2:4" x14ac:dyDescent="0.2">
      <c r="B1011" s="3" t="s">
        <v>2148</v>
      </c>
      <c r="C1011" s="70" t="s">
        <v>427</v>
      </c>
      <c r="D1011" s="20" t="s">
        <v>2458</v>
      </c>
    </row>
    <row r="1012" spans="2:4" x14ac:dyDescent="0.2">
      <c r="B1012" s="3" t="s">
        <v>2149</v>
      </c>
      <c r="C1012" s="70" t="s">
        <v>428</v>
      </c>
      <c r="D1012" s="20" t="s">
        <v>2458</v>
      </c>
    </row>
    <row r="1013" spans="2:4" x14ac:dyDescent="0.2">
      <c r="B1013" s="3" t="s">
        <v>2752</v>
      </c>
      <c r="C1013" s="71" t="s">
        <v>2145</v>
      </c>
      <c r="D1013" s="20" t="s">
        <v>2458</v>
      </c>
    </row>
    <row r="1014" spans="2:4" x14ac:dyDescent="0.2">
      <c r="B1014" s="3" t="s">
        <v>2150</v>
      </c>
      <c r="C1014" s="80" t="s">
        <v>1164</v>
      </c>
      <c r="D1014" s="20" t="s">
        <v>2459</v>
      </c>
    </row>
    <row r="1015" spans="2:4" x14ac:dyDescent="0.2">
      <c r="B1015" s="3" t="s">
        <v>2151</v>
      </c>
      <c r="C1015" s="80" t="s">
        <v>1165</v>
      </c>
      <c r="D1015" s="20" t="s">
        <v>2459</v>
      </c>
    </row>
    <row r="1016" spans="2:4" x14ac:dyDescent="0.2">
      <c r="B1016" s="3" t="s">
        <v>2152</v>
      </c>
      <c r="C1016" s="80" t="s">
        <v>1166</v>
      </c>
      <c r="D1016" s="20" t="s">
        <v>2459</v>
      </c>
    </row>
    <row r="1017" spans="2:4" x14ac:dyDescent="0.2">
      <c r="B1017" s="3" t="s">
        <v>2153</v>
      </c>
      <c r="C1017" s="80" t="s">
        <v>1167</v>
      </c>
      <c r="D1017" s="20" t="s">
        <v>2459</v>
      </c>
    </row>
    <row r="1018" spans="2:4" x14ac:dyDescent="0.2">
      <c r="B1018" s="3" t="s">
        <v>2753</v>
      </c>
      <c r="C1018" s="80" t="s">
        <v>1168</v>
      </c>
      <c r="D1018" s="20" t="s">
        <v>2459</v>
      </c>
    </row>
    <row r="1019" spans="2:4" x14ac:dyDescent="0.2">
      <c r="B1019" s="3" t="s">
        <v>2154</v>
      </c>
      <c r="C1019" s="80" t="s">
        <v>1169</v>
      </c>
      <c r="D1019" s="20" t="s">
        <v>2459</v>
      </c>
    </row>
    <row r="1020" spans="2:4" x14ac:dyDescent="0.2">
      <c r="B1020" s="3" t="s">
        <v>2155</v>
      </c>
      <c r="C1020" s="71" t="s">
        <v>429</v>
      </c>
      <c r="D1020" s="20" t="s">
        <v>2458</v>
      </c>
    </row>
    <row r="1021" spans="2:4" x14ac:dyDescent="0.2">
      <c r="B1021" s="3" t="s">
        <v>2754</v>
      </c>
      <c r="C1021" s="71" t="s">
        <v>1170</v>
      </c>
      <c r="D1021" s="20" t="s">
        <v>2458</v>
      </c>
    </row>
    <row r="1022" spans="2:4" x14ac:dyDescent="0.2">
      <c r="B1022" s="3" t="s">
        <v>2156</v>
      </c>
      <c r="C1022" s="71" t="s">
        <v>430</v>
      </c>
      <c r="D1022" s="20" t="s">
        <v>2458</v>
      </c>
    </row>
    <row r="1023" spans="2:4" x14ac:dyDescent="0.2">
      <c r="B1023" s="3" t="s">
        <v>2157</v>
      </c>
      <c r="C1023" s="71" t="s">
        <v>1171</v>
      </c>
      <c r="D1023" s="20" t="s">
        <v>2458</v>
      </c>
    </row>
    <row r="1024" spans="2:4" x14ac:dyDescent="0.2">
      <c r="B1024" s="3" t="s">
        <v>2158</v>
      </c>
      <c r="C1024" s="71" t="s">
        <v>1172</v>
      </c>
      <c r="D1024" s="20" t="s">
        <v>2458</v>
      </c>
    </row>
    <row r="1025" spans="2:4" x14ac:dyDescent="0.2">
      <c r="B1025" s="3" t="s">
        <v>2159</v>
      </c>
      <c r="C1025" s="80" t="s">
        <v>208</v>
      </c>
      <c r="D1025" s="20" t="s">
        <v>2459</v>
      </c>
    </row>
    <row r="1026" spans="2:4" x14ac:dyDescent="0.2">
      <c r="B1026" s="3" t="s">
        <v>2755</v>
      </c>
      <c r="C1026" s="3" t="s">
        <v>100</v>
      </c>
      <c r="D1026" s="20" t="s">
        <v>175</v>
      </c>
    </row>
    <row r="1027" spans="2:4" x14ac:dyDescent="0.2">
      <c r="B1027" s="3" t="s">
        <v>2160</v>
      </c>
      <c r="C1027" s="70" t="s">
        <v>1173</v>
      </c>
      <c r="D1027" s="20" t="s">
        <v>2458</v>
      </c>
    </row>
    <row r="1028" spans="2:4" x14ac:dyDescent="0.2">
      <c r="B1028" s="3" t="s">
        <v>2161</v>
      </c>
      <c r="C1028" s="75" t="s">
        <v>431</v>
      </c>
      <c r="D1028" s="20" t="s">
        <v>2462</v>
      </c>
    </row>
    <row r="1029" spans="2:4" x14ac:dyDescent="0.2">
      <c r="B1029" s="3" t="s">
        <v>2162</v>
      </c>
      <c r="C1029" s="3" t="s">
        <v>432</v>
      </c>
      <c r="D1029" s="20" t="s">
        <v>2460</v>
      </c>
    </row>
    <row r="1030" spans="2:4" x14ac:dyDescent="0.2">
      <c r="B1030" s="3" t="s">
        <v>2163</v>
      </c>
      <c r="C1030" s="71" t="s">
        <v>1174</v>
      </c>
      <c r="D1030" s="20" t="s">
        <v>2458</v>
      </c>
    </row>
    <row r="1031" spans="2:4" x14ac:dyDescent="0.2">
      <c r="B1031" s="3" t="s">
        <v>2164</v>
      </c>
      <c r="C1031" s="80" t="s">
        <v>433</v>
      </c>
      <c r="D1031" s="20" t="s">
        <v>2459</v>
      </c>
    </row>
    <row r="1032" spans="2:4" x14ac:dyDescent="0.2">
      <c r="B1032" s="3" t="s">
        <v>2165</v>
      </c>
      <c r="C1032" s="71" t="s">
        <v>434</v>
      </c>
      <c r="D1032" s="20" t="s">
        <v>2458</v>
      </c>
    </row>
    <row r="1033" spans="2:4" x14ac:dyDescent="0.2">
      <c r="B1033" s="3" t="s">
        <v>2756</v>
      </c>
      <c r="C1033" s="3" t="s">
        <v>435</v>
      </c>
      <c r="D1033" s="20" t="s">
        <v>175</v>
      </c>
    </row>
    <row r="1034" spans="2:4" x14ac:dyDescent="0.2">
      <c r="B1034" s="3" t="s">
        <v>2166</v>
      </c>
      <c r="C1034" s="80" t="s">
        <v>1175</v>
      </c>
      <c r="D1034" s="20" t="s">
        <v>2459</v>
      </c>
    </row>
    <row r="1035" spans="2:4" x14ac:dyDescent="0.2">
      <c r="B1035" s="3" t="s">
        <v>2167</v>
      </c>
      <c r="C1035" s="91" t="s">
        <v>1176</v>
      </c>
      <c r="D1035" s="20" t="s">
        <v>2458</v>
      </c>
    </row>
    <row r="1036" spans="2:4" x14ac:dyDescent="0.2">
      <c r="B1036" s="3" t="s">
        <v>2168</v>
      </c>
      <c r="C1036" s="71" t="s">
        <v>1177</v>
      </c>
      <c r="D1036" s="20" t="s">
        <v>2458</v>
      </c>
    </row>
    <row r="1037" spans="2:4" x14ac:dyDescent="0.2">
      <c r="B1037" s="3" t="s">
        <v>2169</v>
      </c>
      <c r="C1037" s="65" t="s">
        <v>101</v>
      </c>
      <c r="D1037" s="20" t="s">
        <v>2461</v>
      </c>
    </row>
    <row r="1038" spans="2:4" x14ac:dyDescent="0.2">
      <c r="B1038" s="3" t="s">
        <v>2170</v>
      </c>
      <c r="C1038" s="80" t="s">
        <v>1178</v>
      </c>
      <c r="D1038" s="20" t="s">
        <v>2459</v>
      </c>
    </row>
    <row r="1039" spans="2:4" x14ac:dyDescent="0.2">
      <c r="B1039" s="3" t="s">
        <v>2171</v>
      </c>
      <c r="C1039" s="75" t="s">
        <v>1179</v>
      </c>
      <c r="D1039" s="20" t="s">
        <v>2463</v>
      </c>
    </row>
    <row r="1040" spans="2:4" x14ac:dyDescent="0.2">
      <c r="B1040" s="3" t="s">
        <v>2172</v>
      </c>
      <c r="C1040" s="75" t="s">
        <v>1180</v>
      </c>
      <c r="D1040" s="20" t="s">
        <v>2463</v>
      </c>
    </row>
    <row r="1041" spans="2:4" x14ac:dyDescent="0.2">
      <c r="B1041" s="3" t="s">
        <v>2173</v>
      </c>
      <c r="C1041" s="65" t="s">
        <v>1181</v>
      </c>
      <c r="D1041" s="20" t="s">
        <v>2461</v>
      </c>
    </row>
    <row r="1042" spans="2:4" x14ac:dyDescent="0.2">
      <c r="B1042" s="3" t="s">
        <v>2174</v>
      </c>
      <c r="C1042" s="3" t="s">
        <v>1182</v>
      </c>
      <c r="D1042" s="20" t="s">
        <v>2460</v>
      </c>
    </row>
    <row r="1043" spans="2:4" x14ac:dyDescent="0.2">
      <c r="B1043" s="3" t="s">
        <v>2175</v>
      </c>
      <c r="C1043" s="3" t="s">
        <v>178</v>
      </c>
      <c r="D1043" s="20" t="s">
        <v>2460</v>
      </c>
    </row>
    <row r="1044" spans="2:4" x14ac:dyDescent="0.2">
      <c r="B1044" s="3" t="s">
        <v>2176</v>
      </c>
      <c r="C1044" s="77" t="s">
        <v>102</v>
      </c>
      <c r="D1044" s="20" t="s">
        <v>2462</v>
      </c>
    </row>
    <row r="1045" spans="2:4" x14ac:dyDescent="0.2">
      <c r="B1045" s="3" t="s">
        <v>2177</v>
      </c>
      <c r="C1045" s="80" t="s">
        <v>103</v>
      </c>
      <c r="D1045" s="20" t="s">
        <v>2459</v>
      </c>
    </row>
    <row r="1046" spans="2:4" x14ac:dyDescent="0.2">
      <c r="B1046" s="3" t="s">
        <v>2180</v>
      </c>
      <c r="C1046" s="93" t="s">
        <v>2181</v>
      </c>
      <c r="D1046" s="20" t="s">
        <v>2462</v>
      </c>
    </row>
    <row r="1047" spans="2:4" x14ac:dyDescent="0.2">
      <c r="B1047" s="3" t="s">
        <v>2178</v>
      </c>
      <c r="C1047" s="3" t="s">
        <v>2179</v>
      </c>
      <c r="D1047" s="20" t="s">
        <v>175</v>
      </c>
    </row>
    <row r="1048" spans="2:4" x14ac:dyDescent="0.2">
      <c r="B1048" s="3" t="s">
        <v>2182</v>
      </c>
      <c r="C1048" s="80" t="s">
        <v>436</v>
      </c>
      <c r="D1048" s="20" t="s">
        <v>2459</v>
      </c>
    </row>
    <row r="1049" spans="2:4" x14ac:dyDescent="0.2">
      <c r="B1049" s="3" t="s">
        <v>2183</v>
      </c>
      <c r="C1049" s="3" t="s">
        <v>1183</v>
      </c>
      <c r="D1049" s="20" t="s">
        <v>2460</v>
      </c>
    </row>
    <row r="1050" spans="2:4" x14ac:dyDescent="0.2">
      <c r="B1050" s="3" t="s">
        <v>2757</v>
      </c>
      <c r="C1050" s="3" t="s">
        <v>2758</v>
      </c>
      <c r="D1050" s="20" t="s">
        <v>175</v>
      </c>
    </row>
    <row r="1051" spans="2:4" x14ac:dyDescent="0.2">
      <c r="B1051" s="3" t="s">
        <v>2184</v>
      </c>
      <c r="C1051" s="3" t="s">
        <v>1184</v>
      </c>
      <c r="D1051" s="20" t="s">
        <v>2460</v>
      </c>
    </row>
    <row r="1052" spans="2:4" x14ac:dyDescent="0.2">
      <c r="B1052" s="3" t="s">
        <v>2185</v>
      </c>
      <c r="C1052" s="3" t="s">
        <v>437</v>
      </c>
      <c r="D1052" s="20" t="s">
        <v>2460</v>
      </c>
    </row>
    <row r="1053" spans="2:4" x14ac:dyDescent="0.2">
      <c r="B1053" s="3" t="s">
        <v>2186</v>
      </c>
      <c r="C1053" s="80" t="s">
        <v>1185</v>
      </c>
      <c r="D1053" s="20" t="s">
        <v>2459</v>
      </c>
    </row>
    <row r="1054" spans="2:4" x14ac:dyDescent="0.2">
      <c r="B1054" s="3" t="s">
        <v>2187</v>
      </c>
      <c r="C1054" s="3" t="s">
        <v>1186</v>
      </c>
      <c r="D1054" s="20" t="s">
        <v>2460</v>
      </c>
    </row>
    <row r="1055" spans="2:4" x14ac:dyDescent="0.2">
      <c r="B1055" s="3" t="s">
        <v>2188</v>
      </c>
      <c r="C1055" s="3" t="s">
        <v>438</v>
      </c>
      <c r="D1055" s="20" t="s">
        <v>2460</v>
      </c>
    </row>
    <row r="1056" spans="2:4" x14ac:dyDescent="0.2">
      <c r="B1056" s="3" t="s">
        <v>2759</v>
      </c>
      <c r="C1056" s="3" t="s">
        <v>228</v>
      </c>
      <c r="D1056" s="20" t="s">
        <v>175</v>
      </c>
    </row>
    <row r="1057" spans="2:4" x14ac:dyDescent="0.2">
      <c r="B1057" s="3" t="s">
        <v>2189</v>
      </c>
      <c r="C1057" s="3" t="s">
        <v>1187</v>
      </c>
      <c r="D1057" s="20" t="s">
        <v>2460</v>
      </c>
    </row>
    <row r="1058" spans="2:4" x14ac:dyDescent="0.2">
      <c r="B1058" s="3" t="s">
        <v>2190</v>
      </c>
      <c r="C1058" s="77" t="s">
        <v>1188</v>
      </c>
      <c r="D1058" s="20" t="s">
        <v>2463</v>
      </c>
    </row>
    <row r="1059" spans="2:4" x14ac:dyDescent="0.2">
      <c r="B1059" s="3" t="s">
        <v>2191</v>
      </c>
      <c r="C1059" s="3" t="s">
        <v>1189</v>
      </c>
      <c r="D1059" s="20" t="s">
        <v>2460</v>
      </c>
    </row>
    <row r="1060" spans="2:4" x14ac:dyDescent="0.2">
      <c r="B1060" s="3" t="s">
        <v>2193</v>
      </c>
      <c r="C1060" s="75" t="s">
        <v>1190</v>
      </c>
      <c r="D1060" s="20" t="s">
        <v>2461</v>
      </c>
    </row>
    <row r="1061" spans="2:4" x14ac:dyDescent="0.2">
      <c r="B1061" s="3" t="s">
        <v>2194</v>
      </c>
      <c r="C1061" s="75" t="s">
        <v>104</v>
      </c>
      <c r="D1061" s="20" t="s">
        <v>2462</v>
      </c>
    </row>
    <row r="1062" spans="2:4" x14ac:dyDescent="0.2">
      <c r="B1062" s="3" t="s">
        <v>2195</v>
      </c>
      <c r="C1062" s="3" t="s">
        <v>1191</v>
      </c>
      <c r="D1062" s="20" t="s">
        <v>2460</v>
      </c>
    </row>
    <row r="1063" spans="2:4" x14ac:dyDescent="0.2">
      <c r="B1063" s="3" t="s">
        <v>2196</v>
      </c>
      <c r="C1063" s="80" t="s">
        <v>439</v>
      </c>
      <c r="D1063" s="20" t="s">
        <v>2459</v>
      </c>
    </row>
    <row r="1064" spans="2:4" x14ac:dyDescent="0.2">
      <c r="B1064" s="3" t="s">
        <v>2197</v>
      </c>
      <c r="C1064" s="82" t="s">
        <v>1192</v>
      </c>
      <c r="D1064" s="20" t="s">
        <v>2459</v>
      </c>
    </row>
    <row r="1065" spans="2:4" x14ac:dyDescent="0.2">
      <c r="B1065" s="3" t="s">
        <v>2198</v>
      </c>
      <c r="C1065" s="70" t="s">
        <v>1193</v>
      </c>
      <c r="D1065" s="20" t="s">
        <v>2458</v>
      </c>
    </row>
    <row r="1066" spans="2:4" x14ac:dyDescent="0.2">
      <c r="B1066" s="3" t="s">
        <v>2199</v>
      </c>
      <c r="C1066" s="75" t="s">
        <v>1194</v>
      </c>
      <c r="D1066" s="20" t="s">
        <v>2463</v>
      </c>
    </row>
    <row r="1067" spans="2:4" x14ac:dyDescent="0.2">
      <c r="B1067" s="3" t="s">
        <v>2760</v>
      </c>
      <c r="C1067" s="3" t="s">
        <v>1195</v>
      </c>
      <c r="D1067" s="20" t="s">
        <v>2460</v>
      </c>
    </row>
    <row r="1068" spans="2:4" x14ac:dyDescent="0.2">
      <c r="B1068" s="3" t="s">
        <v>2200</v>
      </c>
      <c r="C1068" s="3" t="s">
        <v>179</v>
      </c>
      <c r="D1068" s="20" t="s">
        <v>2460</v>
      </c>
    </row>
    <row r="1069" spans="2:4" x14ac:dyDescent="0.2">
      <c r="B1069" s="3" t="s">
        <v>2761</v>
      </c>
      <c r="C1069" s="83" t="s">
        <v>1196</v>
      </c>
      <c r="D1069" s="20" t="s">
        <v>2460</v>
      </c>
    </row>
    <row r="1070" spans="2:4" x14ac:dyDescent="0.2">
      <c r="B1070" s="3" t="s">
        <v>2201</v>
      </c>
      <c r="C1070" s="71" t="s">
        <v>1197</v>
      </c>
      <c r="D1070" s="20" t="s">
        <v>2458</v>
      </c>
    </row>
    <row r="1071" spans="2:4" x14ac:dyDescent="0.2">
      <c r="B1071" s="3" t="s">
        <v>2202</v>
      </c>
      <c r="C1071" s="3" t="s">
        <v>1198</v>
      </c>
      <c r="D1071" s="20" t="s">
        <v>2460</v>
      </c>
    </row>
    <row r="1072" spans="2:4" x14ac:dyDescent="0.2">
      <c r="B1072" s="3" t="s">
        <v>2203</v>
      </c>
      <c r="C1072" s="83" t="s">
        <v>440</v>
      </c>
      <c r="D1072" s="20" t="s">
        <v>2460</v>
      </c>
    </row>
    <row r="1073" spans="2:4" x14ac:dyDescent="0.2">
      <c r="B1073" s="3" t="s">
        <v>2204</v>
      </c>
      <c r="C1073" s="86" t="s">
        <v>1199</v>
      </c>
      <c r="D1073" s="20" t="s">
        <v>2459</v>
      </c>
    </row>
    <row r="1074" spans="2:4" x14ac:dyDescent="0.2">
      <c r="B1074" s="3" t="s">
        <v>2205</v>
      </c>
      <c r="C1074" s="80" t="s">
        <v>1200</v>
      </c>
      <c r="D1074" s="20" t="s">
        <v>2459</v>
      </c>
    </row>
    <row r="1075" spans="2:4" x14ac:dyDescent="0.2">
      <c r="B1075" s="3" t="s">
        <v>2206</v>
      </c>
      <c r="C1075" s="3" t="s">
        <v>441</v>
      </c>
      <c r="D1075" s="20" t="s">
        <v>2460</v>
      </c>
    </row>
    <row r="1076" spans="2:4" x14ac:dyDescent="0.2">
      <c r="B1076" s="3" t="s">
        <v>2207</v>
      </c>
      <c r="C1076" s="83" t="s">
        <v>1201</v>
      </c>
      <c r="D1076" s="20" t="s">
        <v>2460</v>
      </c>
    </row>
    <row r="1077" spans="2:4" x14ac:dyDescent="0.2">
      <c r="B1077" s="3" t="s">
        <v>2208</v>
      </c>
      <c r="C1077" s="71" t="s">
        <v>1202</v>
      </c>
      <c r="D1077" s="20" t="s">
        <v>2458</v>
      </c>
    </row>
    <row r="1078" spans="2:4" x14ac:dyDescent="0.2">
      <c r="B1078" s="3" t="s">
        <v>2575</v>
      </c>
      <c r="C1078" s="79" t="s">
        <v>2619</v>
      </c>
      <c r="D1078" s="20" t="s">
        <v>2460</v>
      </c>
    </row>
    <row r="1079" spans="2:4" x14ac:dyDescent="0.2">
      <c r="B1079" s="3" t="s">
        <v>2555</v>
      </c>
      <c r="C1079" s="78" t="s">
        <v>2598</v>
      </c>
      <c r="D1079" s="20" t="s">
        <v>2459</v>
      </c>
    </row>
    <row r="1080" spans="2:4" x14ac:dyDescent="0.2">
      <c r="B1080" s="3" t="s">
        <v>2576</v>
      </c>
      <c r="C1080" s="79" t="s">
        <v>2620</v>
      </c>
      <c r="D1080" s="20" t="s">
        <v>2460</v>
      </c>
    </row>
    <row r="1081" spans="2:4" x14ac:dyDescent="0.2">
      <c r="B1081" s="3" t="s">
        <v>2556</v>
      </c>
      <c r="C1081" s="87" t="s">
        <v>2599</v>
      </c>
      <c r="D1081" s="20" t="s">
        <v>2459</v>
      </c>
    </row>
    <row r="1082" spans="2:4" x14ac:dyDescent="0.2">
      <c r="B1082" s="3" t="s">
        <v>2591</v>
      </c>
      <c r="C1082" s="35" t="s">
        <v>2634</v>
      </c>
      <c r="D1082" s="20" t="s">
        <v>2460</v>
      </c>
    </row>
    <row r="1083" spans="2:4" x14ac:dyDescent="0.2">
      <c r="B1083" s="3" t="s">
        <v>2571</v>
      </c>
      <c r="C1083" s="78" t="s">
        <v>2614</v>
      </c>
      <c r="D1083" s="20" t="s">
        <v>2459</v>
      </c>
    </row>
    <row r="1084" spans="2:4" x14ac:dyDescent="0.2">
      <c r="B1084" s="3" t="s">
        <v>2212</v>
      </c>
      <c r="C1084" s="3" t="s">
        <v>442</v>
      </c>
      <c r="D1084" s="20" t="s">
        <v>2460</v>
      </c>
    </row>
    <row r="1085" spans="2:4" x14ac:dyDescent="0.2">
      <c r="B1085" s="3" t="s">
        <v>2762</v>
      </c>
      <c r="C1085" s="3" t="s">
        <v>1203</v>
      </c>
      <c r="D1085" s="20" t="s">
        <v>175</v>
      </c>
    </row>
    <row r="1086" spans="2:4" x14ac:dyDescent="0.2">
      <c r="B1086" s="3" t="s">
        <v>2213</v>
      </c>
      <c r="C1086" s="78" t="s">
        <v>443</v>
      </c>
      <c r="D1086" s="20" t="s">
        <v>2459</v>
      </c>
    </row>
    <row r="1087" spans="2:4" x14ac:dyDescent="0.2">
      <c r="B1087" s="3" t="s">
        <v>2214</v>
      </c>
      <c r="C1087" s="71" t="s">
        <v>1204</v>
      </c>
      <c r="D1087" s="20" t="s">
        <v>2458</v>
      </c>
    </row>
    <row r="1088" spans="2:4" x14ac:dyDescent="0.2">
      <c r="B1088" s="3" t="s">
        <v>2215</v>
      </c>
      <c r="C1088" s="71" t="s">
        <v>1205</v>
      </c>
      <c r="D1088" s="20" t="s">
        <v>2458</v>
      </c>
    </row>
    <row r="1089" spans="2:4" x14ac:dyDescent="0.2">
      <c r="B1089" s="3" t="s">
        <v>2216</v>
      </c>
      <c r="C1089" s="3" t="s">
        <v>1206</v>
      </c>
      <c r="D1089" s="20" t="s">
        <v>2460</v>
      </c>
    </row>
    <row r="1090" spans="2:4" x14ac:dyDescent="0.2">
      <c r="B1090" s="3" t="s">
        <v>2217</v>
      </c>
      <c r="C1090" s="3" t="s">
        <v>1207</v>
      </c>
      <c r="D1090" s="20" t="s">
        <v>2460</v>
      </c>
    </row>
    <row r="1091" spans="2:4" x14ac:dyDescent="0.2">
      <c r="B1091" s="3" t="s">
        <v>2218</v>
      </c>
      <c r="C1091" s="3" t="s">
        <v>1208</v>
      </c>
      <c r="D1091" s="20" t="s">
        <v>2460</v>
      </c>
    </row>
    <row r="1092" spans="2:4" x14ac:dyDescent="0.2">
      <c r="B1092" s="3" t="s">
        <v>2219</v>
      </c>
      <c r="C1092" s="3" t="s">
        <v>207</v>
      </c>
      <c r="D1092" s="20" t="s">
        <v>2460</v>
      </c>
    </row>
    <row r="1093" spans="2:4" x14ac:dyDescent="0.2">
      <c r="B1093" s="3" t="s">
        <v>2220</v>
      </c>
      <c r="C1093" s="3" t="s">
        <v>1209</v>
      </c>
      <c r="D1093" s="20" t="s">
        <v>2460</v>
      </c>
    </row>
    <row r="1094" spans="2:4" x14ac:dyDescent="0.2">
      <c r="B1094" s="3" t="s">
        <v>2221</v>
      </c>
      <c r="C1094" s="71" t="s">
        <v>1210</v>
      </c>
      <c r="D1094" s="20" t="s">
        <v>2458</v>
      </c>
    </row>
    <row r="1095" spans="2:4" x14ac:dyDescent="0.2">
      <c r="B1095" s="3" t="s">
        <v>2222</v>
      </c>
      <c r="C1095" s="65" t="s">
        <v>1211</v>
      </c>
      <c r="D1095" s="20" t="s">
        <v>2461</v>
      </c>
    </row>
    <row r="1096" spans="2:4" x14ac:dyDescent="0.2">
      <c r="B1096" s="3" t="s">
        <v>2223</v>
      </c>
      <c r="C1096" s="83" t="s">
        <v>1212</v>
      </c>
      <c r="D1096" s="20" t="s">
        <v>2460</v>
      </c>
    </row>
    <row r="1097" spans="2:4" x14ac:dyDescent="0.2">
      <c r="B1097" s="3" t="s">
        <v>2224</v>
      </c>
      <c r="C1097" s="3" t="s">
        <v>1213</v>
      </c>
      <c r="D1097" s="20" t="s">
        <v>2460</v>
      </c>
    </row>
    <row r="1098" spans="2:4" x14ac:dyDescent="0.2">
      <c r="B1098" s="3" t="s">
        <v>2225</v>
      </c>
      <c r="C1098" s="3" t="s">
        <v>444</v>
      </c>
      <c r="D1098" s="20" t="s">
        <v>2460</v>
      </c>
    </row>
    <row r="1099" spans="2:4" x14ac:dyDescent="0.2">
      <c r="B1099" s="3" t="s">
        <v>2763</v>
      </c>
      <c r="C1099" s="3" t="s">
        <v>1214</v>
      </c>
      <c r="D1099" s="20" t="s">
        <v>175</v>
      </c>
    </row>
    <row r="1100" spans="2:4" x14ac:dyDescent="0.2">
      <c r="B1100" s="3" t="s">
        <v>2226</v>
      </c>
      <c r="C1100" s="3" t="s">
        <v>445</v>
      </c>
      <c r="D1100" s="20" t="s">
        <v>2460</v>
      </c>
    </row>
    <row r="1101" spans="2:4" x14ac:dyDescent="0.2">
      <c r="B1101" s="3" t="s">
        <v>2227</v>
      </c>
      <c r="C1101" s="3" t="s">
        <v>446</v>
      </c>
      <c r="D1101" s="20" t="s">
        <v>2460</v>
      </c>
    </row>
    <row r="1102" spans="2:4" x14ac:dyDescent="0.2">
      <c r="B1102" s="3" t="s">
        <v>2228</v>
      </c>
      <c r="C1102" s="3" t="s">
        <v>1215</v>
      </c>
      <c r="D1102" s="20" t="s">
        <v>2460</v>
      </c>
    </row>
    <row r="1103" spans="2:4" x14ac:dyDescent="0.2">
      <c r="B1103" s="3" t="s">
        <v>2229</v>
      </c>
      <c r="C1103" s="3" t="s">
        <v>1216</v>
      </c>
      <c r="D1103" s="20" t="s">
        <v>2460</v>
      </c>
    </row>
    <row r="1104" spans="2:4" x14ac:dyDescent="0.2">
      <c r="B1104" s="3" t="s">
        <v>2230</v>
      </c>
      <c r="C1104" s="3" t="s">
        <v>1217</v>
      </c>
      <c r="D1104" s="20" t="s">
        <v>2460</v>
      </c>
    </row>
    <row r="1105" spans="2:4" x14ac:dyDescent="0.2">
      <c r="B1105" s="3" t="s">
        <v>2231</v>
      </c>
      <c r="C1105" s="75" t="s">
        <v>1218</v>
      </c>
      <c r="D1105" s="20" t="s">
        <v>2463</v>
      </c>
    </row>
    <row r="1106" spans="2:4" x14ac:dyDescent="0.2">
      <c r="B1106" s="3" t="s">
        <v>2232</v>
      </c>
      <c r="C1106" s="77" t="s">
        <v>1219</v>
      </c>
      <c r="D1106" s="20" t="s">
        <v>2462</v>
      </c>
    </row>
    <row r="1107" spans="2:4" x14ac:dyDescent="0.2">
      <c r="B1107" s="3" t="s">
        <v>2233</v>
      </c>
      <c r="C1107" s="75" t="s">
        <v>1220</v>
      </c>
      <c r="D1107" s="20" t="s">
        <v>2462</v>
      </c>
    </row>
    <row r="1108" spans="2:4" x14ac:dyDescent="0.2">
      <c r="B1108" s="3" t="s">
        <v>2764</v>
      </c>
      <c r="C1108" s="75" t="s">
        <v>1221</v>
      </c>
      <c r="D1108" s="20" t="s">
        <v>2462</v>
      </c>
    </row>
    <row r="1109" spans="2:4" x14ac:dyDescent="0.2">
      <c r="B1109" s="3" t="s">
        <v>2234</v>
      </c>
      <c r="C1109" s="75" t="s">
        <v>1222</v>
      </c>
      <c r="D1109" s="20" t="s">
        <v>2462</v>
      </c>
    </row>
    <row r="1110" spans="2:4" x14ac:dyDescent="0.2">
      <c r="B1110" s="3" t="s">
        <v>2235</v>
      </c>
      <c r="C1110" s="3" t="s">
        <v>447</v>
      </c>
      <c r="D1110" s="20" t="s">
        <v>2460</v>
      </c>
    </row>
    <row r="1111" spans="2:4" x14ac:dyDescent="0.2">
      <c r="B1111" s="3" t="s">
        <v>2236</v>
      </c>
      <c r="C1111" s="3" t="s">
        <v>448</v>
      </c>
      <c r="D1111" s="20" t="s">
        <v>2460</v>
      </c>
    </row>
    <row r="1112" spans="2:4" x14ac:dyDescent="0.2">
      <c r="B1112" s="3" t="s">
        <v>2237</v>
      </c>
      <c r="C1112" s="78" t="s">
        <v>1223</v>
      </c>
      <c r="D1112" s="20" t="s">
        <v>2459</v>
      </c>
    </row>
    <row r="1113" spans="2:4" x14ac:dyDescent="0.2">
      <c r="B1113" s="3" t="s">
        <v>2238</v>
      </c>
      <c r="C1113" s="3" t="s">
        <v>1224</v>
      </c>
      <c r="D1113" s="20" t="s">
        <v>2460</v>
      </c>
    </row>
    <row r="1114" spans="2:4" x14ac:dyDescent="0.2">
      <c r="B1114" s="3" t="s">
        <v>2239</v>
      </c>
      <c r="C1114" s="86" t="s">
        <v>449</v>
      </c>
      <c r="D1114" s="20" t="s">
        <v>2459</v>
      </c>
    </row>
    <row r="1115" spans="2:4" x14ac:dyDescent="0.2">
      <c r="B1115" s="3" t="s">
        <v>2240</v>
      </c>
      <c r="C1115" s="75" t="s">
        <v>1225</v>
      </c>
      <c r="D1115" s="20" t="s">
        <v>2462</v>
      </c>
    </row>
    <row r="1116" spans="2:4" x14ac:dyDescent="0.2">
      <c r="B1116" s="3" t="s">
        <v>2765</v>
      </c>
      <c r="C1116" s="3" t="s">
        <v>450</v>
      </c>
      <c r="D1116" s="20" t="s">
        <v>175</v>
      </c>
    </row>
    <row r="1117" spans="2:4" x14ac:dyDescent="0.2">
      <c r="B1117" s="3" t="s">
        <v>2241</v>
      </c>
      <c r="C1117" s="3" t="s">
        <v>1226</v>
      </c>
      <c r="D1117" s="20" t="s">
        <v>2460</v>
      </c>
    </row>
    <row r="1118" spans="2:4" x14ac:dyDescent="0.2">
      <c r="B1118" s="3" t="s">
        <v>2242</v>
      </c>
      <c r="C1118" s="71" t="s">
        <v>451</v>
      </c>
      <c r="D1118" s="20" t="s">
        <v>2458</v>
      </c>
    </row>
    <row r="1119" spans="2:4" x14ac:dyDescent="0.2">
      <c r="B1119" s="3" t="s">
        <v>2243</v>
      </c>
      <c r="C1119" s="3" t="s">
        <v>1227</v>
      </c>
      <c r="D1119" s="20" t="s">
        <v>2460</v>
      </c>
    </row>
    <row r="1120" spans="2:4" x14ac:dyDescent="0.2">
      <c r="B1120" s="3" t="s">
        <v>2244</v>
      </c>
      <c r="C1120" s="3" t="s">
        <v>1228</v>
      </c>
      <c r="D1120" s="20" t="s">
        <v>2460</v>
      </c>
    </row>
    <row r="1121" spans="2:4" x14ac:dyDescent="0.2">
      <c r="B1121" s="3" t="s">
        <v>2245</v>
      </c>
      <c r="C1121" s="76" t="s">
        <v>1229</v>
      </c>
      <c r="D1121" s="20" t="s">
        <v>2463</v>
      </c>
    </row>
    <row r="1122" spans="2:4" x14ac:dyDescent="0.2">
      <c r="B1122" s="3" t="s">
        <v>2246</v>
      </c>
      <c r="C1122" s="68" t="s">
        <v>1230</v>
      </c>
      <c r="D1122" s="20" t="s">
        <v>2462</v>
      </c>
    </row>
    <row r="1123" spans="2:4" x14ac:dyDescent="0.2">
      <c r="B1123" s="3" t="s">
        <v>2247</v>
      </c>
      <c r="C1123" s="75" t="s">
        <v>452</v>
      </c>
      <c r="D1123" s="20" t="s">
        <v>2463</v>
      </c>
    </row>
    <row r="1124" spans="2:4" x14ac:dyDescent="0.2">
      <c r="B1124" s="3" t="s">
        <v>2248</v>
      </c>
      <c r="C1124" s="75" t="s">
        <v>243</v>
      </c>
      <c r="D1124" s="20" t="s">
        <v>2463</v>
      </c>
    </row>
    <row r="1125" spans="2:4" x14ac:dyDescent="0.2">
      <c r="B1125" s="3" t="s">
        <v>2249</v>
      </c>
      <c r="C1125" s="71" t="s">
        <v>1231</v>
      </c>
      <c r="D1125" s="20" t="s">
        <v>2458</v>
      </c>
    </row>
    <row r="1126" spans="2:4" x14ac:dyDescent="0.2">
      <c r="B1126" s="3" t="s">
        <v>2250</v>
      </c>
      <c r="C1126" s="3" t="s">
        <v>1232</v>
      </c>
      <c r="D1126" s="20" t="s">
        <v>2460</v>
      </c>
    </row>
    <row r="1127" spans="2:4" x14ac:dyDescent="0.2">
      <c r="B1127" s="3" t="s">
        <v>2251</v>
      </c>
      <c r="C1127" s="71" t="s">
        <v>1233</v>
      </c>
      <c r="D1127" s="20" t="s">
        <v>2458</v>
      </c>
    </row>
    <row r="1128" spans="2:4" x14ac:dyDescent="0.2">
      <c r="B1128" s="3" t="s">
        <v>2252</v>
      </c>
      <c r="C1128" s="71" t="s">
        <v>1234</v>
      </c>
      <c r="D1128" s="20" t="s">
        <v>2458</v>
      </c>
    </row>
    <row r="1129" spans="2:4" x14ac:dyDescent="0.2">
      <c r="B1129" s="3" t="s">
        <v>2253</v>
      </c>
      <c r="C1129" s="80" t="s">
        <v>1235</v>
      </c>
      <c r="D1129" s="20" t="s">
        <v>2459</v>
      </c>
    </row>
    <row r="1130" spans="2:4" x14ac:dyDescent="0.2">
      <c r="B1130" s="3" t="s">
        <v>2254</v>
      </c>
      <c r="C1130" s="80" t="s">
        <v>1236</v>
      </c>
      <c r="D1130" s="20" t="s">
        <v>2459</v>
      </c>
    </row>
    <row r="1131" spans="2:4" x14ac:dyDescent="0.2">
      <c r="B1131" s="3" t="s">
        <v>2255</v>
      </c>
      <c r="C1131" s="71" t="s">
        <v>1237</v>
      </c>
      <c r="D1131" s="20" t="s">
        <v>2458</v>
      </c>
    </row>
    <row r="1132" spans="2:4" x14ac:dyDescent="0.2">
      <c r="B1132" s="3" t="s">
        <v>2256</v>
      </c>
      <c r="C1132" s="80" t="s">
        <v>1238</v>
      </c>
      <c r="D1132" s="20" t="s">
        <v>2459</v>
      </c>
    </row>
    <row r="1133" spans="2:4" x14ac:dyDescent="0.2">
      <c r="B1133" s="3" t="s">
        <v>2257</v>
      </c>
      <c r="C1133" s="3" t="s">
        <v>453</v>
      </c>
      <c r="D1133" s="20" t="s">
        <v>2460</v>
      </c>
    </row>
    <row r="1134" spans="2:4" x14ac:dyDescent="0.2">
      <c r="B1134" s="3" t="s">
        <v>2258</v>
      </c>
      <c r="C1134" s="80" t="s">
        <v>454</v>
      </c>
      <c r="D1134" s="20" t="s">
        <v>2459</v>
      </c>
    </row>
    <row r="1135" spans="2:4" x14ac:dyDescent="0.2">
      <c r="B1135" s="3" t="s">
        <v>2259</v>
      </c>
      <c r="C1135" s="77" t="s">
        <v>105</v>
      </c>
      <c r="D1135" s="20" t="s">
        <v>2463</v>
      </c>
    </row>
    <row r="1136" spans="2:4" x14ac:dyDescent="0.2">
      <c r="B1136" s="3" t="s">
        <v>2260</v>
      </c>
      <c r="C1136" t="s">
        <v>1239</v>
      </c>
      <c r="D1136" s="20" t="s">
        <v>2460</v>
      </c>
    </row>
    <row r="1137" spans="2:4" x14ac:dyDescent="0.2">
      <c r="B1137" s="3" t="s">
        <v>2261</v>
      </c>
      <c r="C1137" s="88" t="s">
        <v>1240</v>
      </c>
      <c r="D1137" s="20" t="s">
        <v>2460</v>
      </c>
    </row>
    <row r="1138" spans="2:4" x14ac:dyDescent="0.2">
      <c r="B1138" s="3" t="s">
        <v>2262</v>
      </c>
      <c r="C1138" s="71" t="s">
        <v>1241</v>
      </c>
      <c r="D1138" s="20" t="s">
        <v>2458</v>
      </c>
    </row>
    <row r="1139" spans="2:4" x14ac:dyDescent="0.2">
      <c r="B1139" s="3" t="s">
        <v>2263</v>
      </c>
      <c r="C1139" s="77" t="s">
        <v>1242</v>
      </c>
      <c r="D1139" s="20" t="s">
        <v>2462</v>
      </c>
    </row>
    <row r="1140" spans="2:4" x14ac:dyDescent="0.2">
      <c r="B1140" s="3" t="s">
        <v>2264</v>
      </c>
      <c r="C1140" s="68" t="s">
        <v>1243</v>
      </c>
      <c r="D1140" s="20" t="s">
        <v>2463</v>
      </c>
    </row>
    <row r="1141" spans="2:4" x14ac:dyDescent="0.2">
      <c r="B1141" s="3" t="s">
        <v>2766</v>
      </c>
      <c r="C1141" s="3" t="s">
        <v>1244</v>
      </c>
      <c r="D1141" s="20" t="s">
        <v>175</v>
      </c>
    </row>
    <row r="1142" spans="2:4" x14ac:dyDescent="0.2">
      <c r="B1142" s="3" t="s">
        <v>2265</v>
      </c>
      <c r="C1142" s="71" t="s">
        <v>455</v>
      </c>
      <c r="D1142" s="20" t="s">
        <v>2458</v>
      </c>
    </row>
    <row r="1143" spans="2:4" x14ac:dyDescent="0.2">
      <c r="B1143" s="3" t="s">
        <v>2266</v>
      </c>
      <c r="C1143" s="71" t="s">
        <v>1245</v>
      </c>
      <c r="D1143" s="20" t="s">
        <v>2458</v>
      </c>
    </row>
    <row r="1144" spans="2:4" x14ac:dyDescent="0.2">
      <c r="B1144" s="3" t="s">
        <v>2267</v>
      </c>
      <c r="C1144" s="77" t="s">
        <v>1246</v>
      </c>
      <c r="D1144" s="20" t="s">
        <v>2463</v>
      </c>
    </row>
    <row r="1145" spans="2:4" x14ac:dyDescent="0.2">
      <c r="B1145" s="3" t="s">
        <v>2268</v>
      </c>
      <c r="C1145" s="77" t="s">
        <v>1247</v>
      </c>
      <c r="D1145" s="20" t="s">
        <v>2463</v>
      </c>
    </row>
    <row r="1146" spans="2:4" x14ac:dyDescent="0.2">
      <c r="B1146" s="3" t="s">
        <v>2269</v>
      </c>
      <c r="C1146" s="75" t="s">
        <v>106</v>
      </c>
      <c r="D1146" s="20" t="s">
        <v>2463</v>
      </c>
    </row>
    <row r="1147" spans="2:4" x14ac:dyDescent="0.2">
      <c r="B1147" s="3" t="s">
        <v>2270</v>
      </c>
      <c r="C1147" s="75" t="s">
        <v>107</v>
      </c>
      <c r="D1147" s="20" t="s">
        <v>2463</v>
      </c>
    </row>
    <row r="1148" spans="2:4" x14ac:dyDescent="0.2">
      <c r="B1148" s="3" t="s">
        <v>2271</v>
      </c>
      <c r="C1148" s="77" t="s">
        <v>1248</v>
      </c>
      <c r="D1148" s="20" t="s">
        <v>2461</v>
      </c>
    </row>
    <row r="1149" spans="2:4" x14ac:dyDescent="0.2">
      <c r="B1149" s="3" t="s">
        <v>2272</v>
      </c>
      <c r="C1149" s="77" t="s">
        <v>1249</v>
      </c>
      <c r="D1149" s="20" t="s">
        <v>2461</v>
      </c>
    </row>
    <row r="1150" spans="2:4" x14ac:dyDescent="0.2">
      <c r="B1150" s="3" t="s">
        <v>2577</v>
      </c>
      <c r="C1150" s="71" t="s">
        <v>2635</v>
      </c>
      <c r="D1150" s="20" t="s">
        <v>2458</v>
      </c>
    </row>
    <row r="1151" spans="2:4" x14ac:dyDescent="0.2">
      <c r="B1151" s="3" t="s">
        <v>2557</v>
      </c>
      <c r="C1151" s="80" t="s">
        <v>2600</v>
      </c>
      <c r="D1151" s="20" t="s">
        <v>2459</v>
      </c>
    </row>
    <row r="1152" spans="2:4" x14ac:dyDescent="0.2">
      <c r="B1152" s="3" t="s">
        <v>2274</v>
      </c>
      <c r="C1152" s="80" t="s">
        <v>1250</v>
      </c>
      <c r="D1152" s="20" t="s">
        <v>2459</v>
      </c>
    </row>
    <row r="1153" spans="2:4" x14ac:dyDescent="0.2">
      <c r="B1153" s="3" t="s">
        <v>2275</v>
      </c>
      <c r="C1153" s="77" t="s">
        <v>456</v>
      </c>
      <c r="D1153" s="20" t="s">
        <v>2463</v>
      </c>
    </row>
    <row r="1154" spans="2:4" x14ac:dyDescent="0.2">
      <c r="B1154" s="3" t="s">
        <v>2276</v>
      </c>
      <c r="C1154" s="80" t="s">
        <v>1251</v>
      </c>
      <c r="D1154" s="20" t="s">
        <v>2459</v>
      </c>
    </row>
    <row r="1155" spans="2:4" x14ac:dyDescent="0.2">
      <c r="B1155" s="3" t="s">
        <v>2277</v>
      </c>
      <c r="C1155" s="77" t="s">
        <v>1252</v>
      </c>
      <c r="D1155" s="20" t="s">
        <v>2461</v>
      </c>
    </row>
    <row r="1156" spans="2:4" x14ac:dyDescent="0.2">
      <c r="B1156" s="3" t="s">
        <v>2278</v>
      </c>
      <c r="C1156" s="3" t="s">
        <v>457</v>
      </c>
      <c r="D1156" s="20" t="s">
        <v>2460</v>
      </c>
    </row>
    <row r="1157" spans="2:4" x14ac:dyDescent="0.2">
      <c r="B1157" s="3" t="s">
        <v>2279</v>
      </c>
      <c r="C1157" s="3" t="s">
        <v>1253</v>
      </c>
      <c r="D1157" s="20" t="s">
        <v>2460</v>
      </c>
    </row>
    <row r="1158" spans="2:4" x14ac:dyDescent="0.2">
      <c r="B1158" s="3" t="s">
        <v>2280</v>
      </c>
      <c r="C1158" s="3" t="s">
        <v>1254</v>
      </c>
      <c r="D1158" s="20" t="s">
        <v>2460</v>
      </c>
    </row>
    <row r="1159" spans="2:4" x14ac:dyDescent="0.2">
      <c r="B1159" s="3" t="s">
        <v>2281</v>
      </c>
      <c r="C1159" s="80" t="s">
        <v>1255</v>
      </c>
      <c r="D1159" s="20" t="s">
        <v>2459</v>
      </c>
    </row>
    <row r="1160" spans="2:4" x14ac:dyDescent="0.2">
      <c r="B1160" s="3" t="s">
        <v>2767</v>
      </c>
      <c r="C1160" s="3" t="s">
        <v>1256</v>
      </c>
      <c r="D1160" s="20" t="s">
        <v>175</v>
      </c>
    </row>
    <row r="1161" spans="2:4" x14ac:dyDescent="0.2">
      <c r="B1161" s="3" t="s">
        <v>2282</v>
      </c>
      <c r="C1161" s="77" t="s">
        <v>1257</v>
      </c>
      <c r="D1161" s="20" t="s">
        <v>2463</v>
      </c>
    </row>
    <row r="1162" spans="2:4" x14ac:dyDescent="0.2">
      <c r="B1162" s="3" t="s">
        <v>2283</v>
      </c>
      <c r="C1162" s="71" t="s">
        <v>180</v>
      </c>
      <c r="D1162" s="20" t="s">
        <v>2458</v>
      </c>
    </row>
    <row r="1163" spans="2:4" x14ac:dyDescent="0.2">
      <c r="B1163" s="3" t="s">
        <v>2284</v>
      </c>
      <c r="C1163" s="71" t="s">
        <v>1258</v>
      </c>
      <c r="D1163" s="20" t="s">
        <v>2458</v>
      </c>
    </row>
    <row r="1164" spans="2:4" x14ac:dyDescent="0.2">
      <c r="B1164" s="3" t="s">
        <v>2285</v>
      </c>
      <c r="C1164" s="71" t="s">
        <v>1259</v>
      </c>
      <c r="D1164" s="20" t="s">
        <v>2458</v>
      </c>
    </row>
    <row r="1165" spans="2:4" x14ac:dyDescent="0.2">
      <c r="B1165" s="3" t="s">
        <v>2286</v>
      </c>
      <c r="C1165" s="71" t="s">
        <v>213</v>
      </c>
      <c r="D1165" s="20" t="s">
        <v>2458</v>
      </c>
    </row>
    <row r="1166" spans="2:4" x14ac:dyDescent="0.2">
      <c r="B1166" s="3" t="s">
        <v>2287</v>
      </c>
      <c r="C1166" s="71" t="s">
        <v>1260</v>
      </c>
      <c r="D1166" s="20" t="s">
        <v>2458</v>
      </c>
    </row>
    <row r="1167" spans="2:4" x14ac:dyDescent="0.2">
      <c r="B1167" s="3" t="s">
        <v>2288</v>
      </c>
      <c r="C1167" s="71" t="s">
        <v>1261</v>
      </c>
      <c r="D1167" s="20" t="s">
        <v>2458</v>
      </c>
    </row>
    <row r="1168" spans="2:4" x14ac:dyDescent="0.2">
      <c r="B1168" s="3" t="s">
        <v>2289</v>
      </c>
      <c r="C1168" s="71" t="s">
        <v>1262</v>
      </c>
      <c r="D1168" s="20" t="s">
        <v>2458</v>
      </c>
    </row>
    <row r="1169" spans="2:4" x14ac:dyDescent="0.2">
      <c r="B1169" s="3" t="s">
        <v>2290</v>
      </c>
      <c r="C1169" s="80" t="s">
        <v>1263</v>
      </c>
      <c r="D1169" s="20" t="s">
        <v>2459</v>
      </c>
    </row>
    <row r="1170" spans="2:4" x14ac:dyDescent="0.2">
      <c r="B1170" s="3" t="s">
        <v>2768</v>
      </c>
      <c r="C1170" s="3" t="s">
        <v>1264</v>
      </c>
      <c r="D1170" s="20" t="s">
        <v>175</v>
      </c>
    </row>
    <row r="1171" spans="2:4" x14ac:dyDescent="0.2">
      <c r="B1171" s="3" t="s">
        <v>2291</v>
      </c>
      <c r="C1171" s="87" t="s">
        <v>1265</v>
      </c>
      <c r="D1171" s="20" t="s">
        <v>2459</v>
      </c>
    </row>
    <row r="1172" spans="2:4" x14ac:dyDescent="0.2">
      <c r="B1172" s="3" t="s">
        <v>2292</v>
      </c>
      <c r="C1172" s="87" t="s">
        <v>1266</v>
      </c>
      <c r="D1172" s="20" t="s">
        <v>2459</v>
      </c>
    </row>
    <row r="1173" spans="2:4" x14ac:dyDescent="0.2">
      <c r="B1173" s="3" t="s">
        <v>2532</v>
      </c>
      <c r="C1173" s="65" t="s">
        <v>2525</v>
      </c>
      <c r="D1173" s="20" t="s">
        <v>2461</v>
      </c>
    </row>
    <row r="1174" spans="2:4" x14ac:dyDescent="0.2">
      <c r="B1174" s="3" t="s">
        <v>2293</v>
      </c>
      <c r="C1174" s="3" t="s">
        <v>1267</v>
      </c>
      <c r="D1174" s="20" t="s">
        <v>2460</v>
      </c>
    </row>
    <row r="1175" spans="2:4" x14ac:dyDescent="0.2">
      <c r="B1175" s="3" t="s">
        <v>2294</v>
      </c>
      <c r="C1175" s="3" t="s">
        <v>128</v>
      </c>
      <c r="D1175" s="20" t="s">
        <v>2460</v>
      </c>
    </row>
    <row r="1176" spans="2:4" x14ac:dyDescent="0.2">
      <c r="B1176" s="3" t="s">
        <v>2769</v>
      </c>
      <c r="C1176" s="3" t="s">
        <v>1268</v>
      </c>
      <c r="D1176" s="20" t="s">
        <v>2460</v>
      </c>
    </row>
    <row r="1177" spans="2:4" x14ac:dyDescent="0.2">
      <c r="B1177" s="3" t="s">
        <v>2295</v>
      </c>
      <c r="C1177" s="71" t="s">
        <v>1269</v>
      </c>
      <c r="D1177" s="20" t="s">
        <v>2458</v>
      </c>
    </row>
    <row r="1178" spans="2:4" x14ac:dyDescent="0.2">
      <c r="B1178" s="3" t="s">
        <v>2296</v>
      </c>
      <c r="C1178" s="71" t="s">
        <v>1270</v>
      </c>
      <c r="D1178" s="20" t="s">
        <v>2458</v>
      </c>
    </row>
    <row r="1179" spans="2:4" x14ac:dyDescent="0.2">
      <c r="B1179" s="3" t="s">
        <v>2770</v>
      </c>
      <c r="C1179" s="71" t="s">
        <v>1271</v>
      </c>
      <c r="D1179" s="20" t="s">
        <v>2458</v>
      </c>
    </row>
    <row r="1180" spans="2:4" x14ac:dyDescent="0.2">
      <c r="B1180" s="3" t="s">
        <v>2297</v>
      </c>
      <c r="C1180" s="80" t="s">
        <v>1272</v>
      </c>
      <c r="D1180" s="20" t="s">
        <v>2459</v>
      </c>
    </row>
    <row r="1181" spans="2:4" x14ac:dyDescent="0.2">
      <c r="B1181" s="3" t="s">
        <v>2298</v>
      </c>
      <c r="C1181" s="3" t="s">
        <v>1273</v>
      </c>
      <c r="D1181" s="20" t="s">
        <v>2460</v>
      </c>
    </row>
    <row r="1182" spans="2:4" x14ac:dyDescent="0.2">
      <c r="B1182" s="3" t="s">
        <v>2299</v>
      </c>
      <c r="C1182" s="71" t="s">
        <v>1274</v>
      </c>
      <c r="D1182" s="20" t="s">
        <v>2458</v>
      </c>
    </row>
    <row r="1183" spans="2:4" x14ac:dyDescent="0.2">
      <c r="B1183" s="3" t="s">
        <v>2300</v>
      </c>
      <c r="C1183" s="71" t="s">
        <v>458</v>
      </c>
      <c r="D1183" s="20" t="s">
        <v>2458</v>
      </c>
    </row>
    <row r="1184" spans="2:4" x14ac:dyDescent="0.2">
      <c r="B1184" s="3" t="s">
        <v>2304</v>
      </c>
      <c r="C1184" s="71" t="s">
        <v>1275</v>
      </c>
      <c r="D1184" s="20" t="s">
        <v>2458</v>
      </c>
    </row>
    <row r="1185" spans="2:4" x14ac:dyDescent="0.2">
      <c r="B1185" s="3" t="s">
        <v>2305</v>
      </c>
      <c r="C1185" s="71" t="s">
        <v>1276</v>
      </c>
      <c r="D1185" s="20" t="s">
        <v>2458</v>
      </c>
    </row>
    <row r="1186" spans="2:4" x14ac:dyDescent="0.2">
      <c r="B1186" s="3" t="s">
        <v>2306</v>
      </c>
      <c r="C1186" s="80" t="s">
        <v>1277</v>
      </c>
      <c r="D1186" s="20" t="s">
        <v>2459</v>
      </c>
    </row>
    <row r="1187" spans="2:4" x14ac:dyDescent="0.2">
      <c r="B1187" s="3" t="s">
        <v>2307</v>
      </c>
      <c r="C1187" s="71" t="s">
        <v>459</v>
      </c>
      <c r="D1187" s="20" t="s">
        <v>2458</v>
      </c>
    </row>
    <row r="1188" spans="2:4" x14ac:dyDescent="0.2">
      <c r="B1188" s="3" t="s">
        <v>2308</v>
      </c>
      <c r="C1188" s="71" t="s">
        <v>1278</v>
      </c>
      <c r="D1188" s="20" t="s">
        <v>2458</v>
      </c>
    </row>
    <row r="1189" spans="2:4" x14ac:dyDescent="0.2">
      <c r="B1189" s="3" t="s">
        <v>2309</v>
      </c>
      <c r="C1189" s="71" t="s">
        <v>1279</v>
      </c>
      <c r="D1189" s="20" t="s">
        <v>2458</v>
      </c>
    </row>
    <row r="1190" spans="2:4" x14ac:dyDescent="0.2">
      <c r="B1190" s="3" t="s">
        <v>2310</v>
      </c>
      <c r="C1190" s="71" t="s">
        <v>1280</v>
      </c>
      <c r="D1190" s="20" t="s">
        <v>2458</v>
      </c>
    </row>
    <row r="1191" spans="2:4" x14ac:dyDescent="0.2">
      <c r="B1191" s="3" t="s">
        <v>2311</v>
      </c>
      <c r="C1191" s="71" t="s">
        <v>460</v>
      </c>
      <c r="D1191" s="20" t="s">
        <v>2458</v>
      </c>
    </row>
    <row r="1192" spans="2:4" x14ac:dyDescent="0.2">
      <c r="B1192" s="3" t="s">
        <v>2312</v>
      </c>
      <c r="C1192" s="71" t="s">
        <v>461</v>
      </c>
      <c r="D1192" s="20" t="s">
        <v>2458</v>
      </c>
    </row>
    <row r="1193" spans="2:4" x14ac:dyDescent="0.2">
      <c r="B1193" s="3" t="s">
        <v>2313</v>
      </c>
      <c r="C1193" s="71" t="s">
        <v>1281</v>
      </c>
      <c r="D1193" s="20" t="s">
        <v>2458</v>
      </c>
    </row>
    <row r="1194" spans="2:4" x14ac:dyDescent="0.2">
      <c r="B1194" s="3" t="s">
        <v>2314</v>
      </c>
      <c r="C1194" s="71" t="s">
        <v>462</v>
      </c>
      <c r="D1194" s="20" t="s">
        <v>2458</v>
      </c>
    </row>
    <row r="1195" spans="2:4" x14ac:dyDescent="0.2">
      <c r="B1195" s="3" t="s">
        <v>2315</v>
      </c>
      <c r="C1195" s="71" t="s">
        <v>1282</v>
      </c>
      <c r="D1195" s="20" t="s">
        <v>2458</v>
      </c>
    </row>
    <row r="1196" spans="2:4" x14ac:dyDescent="0.2">
      <c r="B1196" s="3" t="s">
        <v>2316</v>
      </c>
      <c r="C1196" s="71" t="s">
        <v>1283</v>
      </c>
      <c r="D1196" s="20" t="s">
        <v>2458</v>
      </c>
    </row>
    <row r="1197" spans="2:4" x14ac:dyDescent="0.2">
      <c r="B1197" s="3" t="s">
        <v>2317</v>
      </c>
      <c r="C1197" s="71" t="s">
        <v>181</v>
      </c>
      <c r="D1197" s="20" t="s">
        <v>2458</v>
      </c>
    </row>
    <row r="1198" spans="2:4" x14ac:dyDescent="0.2">
      <c r="B1198" s="3" t="s">
        <v>2771</v>
      </c>
      <c r="C1198" s="71" t="s">
        <v>108</v>
      </c>
      <c r="D1198" s="20" t="s">
        <v>175</v>
      </c>
    </row>
    <row r="1199" spans="2:4" x14ac:dyDescent="0.2">
      <c r="B1199" s="3" t="s">
        <v>2318</v>
      </c>
      <c r="C1199" s="71" t="s">
        <v>463</v>
      </c>
      <c r="D1199" s="20" t="s">
        <v>2458</v>
      </c>
    </row>
    <row r="1200" spans="2:4" x14ac:dyDescent="0.2">
      <c r="B1200" s="3" t="s">
        <v>2319</v>
      </c>
      <c r="C1200" s="65" t="s">
        <v>1284</v>
      </c>
      <c r="D1200" s="20" t="s">
        <v>2462</v>
      </c>
    </row>
    <row r="1201" spans="2:4" x14ac:dyDescent="0.2">
      <c r="B1201" s="3" t="s">
        <v>2320</v>
      </c>
      <c r="C1201" s="65" t="s">
        <v>109</v>
      </c>
      <c r="D1201" s="20" t="s">
        <v>2462</v>
      </c>
    </row>
    <row r="1202" spans="2:4" x14ac:dyDescent="0.2">
      <c r="B1202" s="3" t="s">
        <v>2321</v>
      </c>
      <c r="C1202" s="80" t="s">
        <v>1285</v>
      </c>
      <c r="D1202" s="20" t="s">
        <v>2459</v>
      </c>
    </row>
    <row r="1203" spans="2:4" x14ac:dyDescent="0.2">
      <c r="B1203" s="3" t="s">
        <v>2322</v>
      </c>
      <c r="C1203" s="71" t="s">
        <v>1286</v>
      </c>
      <c r="D1203" s="20" t="s">
        <v>2458</v>
      </c>
    </row>
    <row r="1204" spans="2:4" x14ac:dyDescent="0.2">
      <c r="B1204" s="3" t="s">
        <v>2323</v>
      </c>
      <c r="C1204" s="80" t="s">
        <v>464</v>
      </c>
      <c r="D1204" s="20" t="s">
        <v>2459</v>
      </c>
    </row>
    <row r="1205" spans="2:4" x14ac:dyDescent="0.2">
      <c r="B1205" s="3" t="s">
        <v>2324</v>
      </c>
      <c r="C1205" s="3" t="s">
        <v>1287</v>
      </c>
      <c r="D1205" s="20" t="s">
        <v>2460</v>
      </c>
    </row>
    <row r="1206" spans="2:4" x14ac:dyDescent="0.2">
      <c r="B1206" s="3" t="s">
        <v>2325</v>
      </c>
      <c r="C1206" s="92" t="s">
        <v>1288</v>
      </c>
      <c r="D1206" s="20" t="s">
        <v>2458</v>
      </c>
    </row>
    <row r="1207" spans="2:4" x14ac:dyDescent="0.2">
      <c r="B1207" s="3" t="s">
        <v>2642</v>
      </c>
      <c r="C1207" s="92" t="s">
        <v>1289</v>
      </c>
      <c r="D1207" s="20" t="s">
        <v>2458</v>
      </c>
    </row>
    <row r="1208" spans="2:4" x14ac:dyDescent="0.2">
      <c r="B1208" s="3" t="s">
        <v>2327</v>
      </c>
      <c r="C1208" s="71" t="s">
        <v>1290</v>
      </c>
      <c r="D1208" s="20" t="s">
        <v>2458</v>
      </c>
    </row>
    <row r="1209" spans="2:4" x14ac:dyDescent="0.2">
      <c r="B1209" s="3" t="s">
        <v>2328</v>
      </c>
      <c r="C1209" s="71" t="s">
        <v>1291</v>
      </c>
      <c r="D1209" s="20" t="s">
        <v>2458</v>
      </c>
    </row>
    <row r="1210" spans="2:4" x14ac:dyDescent="0.2">
      <c r="B1210" s="3" t="s">
        <v>2329</v>
      </c>
      <c r="C1210" s="71" t="s">
        <v>1292</v>
      </c>
      <c r="D1210" s="20" t="s">
        <v>2458</v>
      </c>
    </row>
    <row r="1211" spans="2:4" x14ac:dyDescent="0.2">
      <c r="B1211" s="3" t="s">
        <v>2330</v>
      </c>
      <c r="C1211" s="71" t="s">
        <v>1293</v>
      </c>
      <c r="D1211" s="20" t="s">
        <v>2458</v>
      </c>
    </row>
    <row r="1212" spans="2:4" x14ac:dyDescent="0.2">
      <c r="B1212" s="3" t="s">
        <v>2578</v>
      </c>
      <c r="C1212" s="71" t="s">
        <v>2621</v>
      </c>
      <c r="D1212" s="20" t="s">
        <v>2458</v>
      </c>
    </row>
    <row r="1213" spans="2:4" x14ac:dyDescent="0.2">
      <c r="B1213" s="3" t="s">
        <v>2558</v>
      </c>
      <c r="C1213" s="80" t="s">
        <v>2601</v>
      </c>
      <c r="D1213" s="20" t="s">
        <v>2459</v>
      </c>
    </row>
    <row r="1214" spans="2:4" x14ac:dyDescent="0.2">
      <c r="B1214" s="3" t="s">
        <v>2559</v>
      </c>
      <c r="C1214" s="80" t="s">
        <v>1294</v>
      </c>
      <c r="D1214" s="20" t="s">
        <v>2459</v>
      </c>
    </row>
    <row r="1215" spans="2:4" x14ac:dyDescent="0.2">
      <c r="B1215" s="3" t="s">
        <v>2579</v>
      </c>
      <c r="C1215" s="71" t="s">
        <v>1295</v>
      </c>
      <c r="D1215" s="20" t="s">
        <v>2458</v>
      </c>
    </row>
    <row r="1216" spans="2:4" x14ac:dyDescent="0.2">
      <c r="B1216" s="3" t="s">
        <v>2331</v>
      </c>
      <c r="C1216" s="71" t="s">
        <v>1296</v>
      </c>
      <c r="D1216" s="20" t="s">
        <v>2458</v>
      </c>
    </row>
    <row r="1217" spans="2:4" x14ac:dyDescent="0.2">
      <c r="B1217" s="3" t="s">
        <v>2332</v>
      </c>
      <c r="C1217" s="80" t="s">
        <v>1297</v>
      </c>
      <c r="D1217" s="20" t="s">
        <v>2459</v>
      </c>
    </row>
    <row r="1218" spans="2:4" x14ac:dyDescent="0.2">
      <c r="B1218" s="3" t="s">
        <v>2333</v>
      </c>
      <c r="C1218" s="71" t="s">
        <v>465</v>
      </c>
      <c r="D1218" s="20" t="s">
        <v>2458</v>
      </c>
    </row>
    <row r="1219" spans="2:4" x14ac:dyDescent="0.2">
      <c r="B1219" s="3" t="s">
        <v>2772</v>
      </c>
      <c r="C1219" s="71" t="s">
        <v>110</v>
      </c>
      <c r="D1219" s="20" t="s">
        <v>2458</v>
      </c>
    </row>
    <row r="1220" spans="2:4" x14ac:dyDescent="0.2">
      <c r="B1220" s="3" t="s">
        <v>2334</v>
      </c>
      <c r="C1220" s="71" t="s">
        <v>466</v>
      </c>
      <c r="D1220" s="20" t="s">
        <v>2458</v>
      </c>
    </row>
    <row r="1221" spans="2:4" x14ac:dyDescent="0.2">
      <c r="B1221" s="3" t="s">
        <v>2335</v>
      </c>
      <c r="C1221" s="65" t="s">
        <v>251</v>
      </c>
      <c r="D1221" s="20" t="s">
        <v>2463</v>
      </c>
    </row>
    <row r="1222" spans="2:4" x14ac:dyDescent="0.2">
      <c r="B1222" s="3" t="s">
        <v>2336</v>
      </c>
      <c r="C1222" s="80" t="s">
        <v>1298</v>
      </c>
      <c r="D1222" s="20" t="s">
        <v>2459</v>
      </c>
    </row>
    <row r="1223" spans="2:4" x14ac:dyDescent="0.2">
      <c r="B1223" s="3" t="s">
        <v>2337</v>
      </c>
      <c r="C1223" s="65" t="s">
        <v>111</v>
      </c>
      <c r="D1223" s="20" t="s">
        <v>2463</v>
      </c>
    </row>
    <row r="1224" spans="2:4" x14ac:dyDescent="0.2">
      <c r="B1224" s="3" t="s">
        <v>2773</v>
      </c>
      <c r="C1224" s="65" t="s">
        <v>112</v>
      </c>
      <c r="D1224" s="20" t="s">
        <v>2463</v>
      </c>
    </row>
    <row r="1225" spans="2:4" x14ac:dyDescent="0.2">
      <c r="B1225" s="3" t="s">
        <v>2338</v>
      </c>
      <c r="C1225" s="80" t="s">
        <v>467</v>
      </c>
      <c r="D1225" s="20" t="s">
        <v>2459</v>
      </c>
    </row>
    <row r="1226" spans="2:4" x14ac:dyDescent="0.2">
      <c r="B1226" s="3" t="s">
        <v>2339</v>
      </c>
      <c r="C1226" s="87" t="s">
        <v>1299</v>
      </c>
      <c r="D1226" s="20" t="s">
        <v>2459</v>
      </c>
    </row>
    <row r="1227" spans="2:4" x14ac:dyDescent="0.2">
      <c r="B1227" s="3" t="s">
        <v>2340</v>
      </c>
      <c r="C1227" s="3" t="s">
        <v>1300</v>
      </c>
      <c r="D1227" s="20" t="s">
        <v>2460</v>
      </c>
    </row>
    <row r="1228" spans="2:4" x14ac:dyDescent="0.2">
      <c r="B1228" s="3" t="s">
        <v>2341</v>
      </c>
      <c r="C1228" s="89" t="s">
        <v>1301</v>
      </c>
      <c r="D1228" s="20" t="s">
        <v>2460</v>
      </c>
    </row>
    <row r="1229" spans="2:4" x14ac:dyDescent="0.2">
      <c r="B1229" s="3" t="s">
        <v>2774</v>
      </c>
      <c r="C1229" s="83" t="s">
        <v>2343</v>
      </c>
      <c r="D1229" s="20" t="s">
        <v>175</v>
      </c>
    </row>
    <row r="1230" spans="2:4" x14ac:dyDescent="0.2">
      <c r="B1230" s="3" t="s">
        <v>2342</v>
      </c>
      <c r="C1230" s="75" t="s">
        <v>1302</v>
      </c>
      <c r="D1230" s="20" t="s">
        <v>2462</v>
      </c>
    </row>
    <row r="1231" spans="2:4" x14ac:dyDescent="0.2">
      <c r="B1231" s="3" t="s">
        <v>2344</v>
      </c>
      <c r="C1231" s="71" t="s">
        <v>468</v>
      </c>
      <c r="D1231" s="20" t="s">
        <v>2458</v>
      </c>
    </row>
    <row r="1232" spans="2:4" x14ac:dyDescent="0.2">
      <c r="B1232" s="3" t="s">
        <v>2345</v>
      </c>
      <c r="C1232" s="65" t="s">
        <v>113</v>
      </c>
      <c r="D1232" s="20" t="s">
        <v>2463</v>
      </c>
    </row>
    <row r="1233" spans="2:4" x14ac:dyDescent="0.2">
      <c r="B1233" s="3" t="s">
        <v>2346</v>
      </c>
      <c r="C1233" s="65" t="s">
        <v>114</v>
      </c>
      <c r="D1233" s="20" t="s">
        <v>2463</v>
      </c>
    </row>
    <row r="1234" spans="2:4" x14ac:dyDescent="0.2">
      <c r="B1234" s="3" t="s">
        <v>2347</v>
      </c>
      <c r="C1234" s="65" t="s">
        <v>115</v>
      </c>
      <c r="D1234" s="20" t="s">
        <v>2463</v>
      </c>
    </row>
    <row r="1235" spans="2:4" x14ac:dyDescent="0.2">
      <c r="B1235" s="3" t="s">
        <v>2348</v>
      </c>
      <c r="C1235" s="65" t="s">
        <v>116</v>
      </c>
      <c r="D1235" s="20" t="s">
        <v>2462</v>
      </c>
    </row>
    <row r="1236" spans="2:4" x14ac:dyDescent="0.2">
      <c r="B1236" s="3" t="s">
        <v>2775</v>
      </c>
      <c r="C1236" s="65" t="s">
        <v>117</v>
      </c>
      <c r="D1236" s="20" t="s">
        <v>175</v>
      </c>
    </row>
    <row r="1237" spans="2:4" x14ac:dyDescent="0.2">
      <c r="B1237" s="3" t="s">
        <v>2349</v>
      </c>
      <c r="C1237" s="65" t="s">
        <v>118</v>
      </c>
      <c r="D1237" s="20" t="s">
        <v>2463</v>
      </c>
    </row>
    <row r="1238" spans="2:4" x14ac:dyDescent="0.2">
      <c r="B1238" s="3" t="s">
        <v>2350</v>
      </c>
      <c r="C1238" s="75" t="s">
        <v>244</v>
      </c>
      <c r="D1238" s="20" t="s">
        <v>2462</v>
      </c>
    </row>
    <row r="1239" spans="2:4" x14ac:dyDescent="0.2">
      <c r="B1239" s="35" t="s">
        <v>2592</v>
      </c>
      <c r="C1239" s="71" t="s">
        <v>2636</v>
      </c>
      <c r="D1239" s="20" t="s">
        <v>2458</v>
      </c>
    </row>
    <row r="1240" spans="2:4" x14ac:dyDescent="0.2">
      <c r="B1240" s="35" t="s">
        <v>2572</v>
      </c>
      <c r="C1240" s="80" t="s">
        <v>2615</v>
      </c>
      <c r="D1240" s="20" t="s">
        <v>2459</v>
      </c>
    </row>
    <row r="1241" spans="2:4" x14ac:dyDescent="0.2">
      <c r="B1241" s="3" t="s">
        <v>2351</v>
      </c>
      <c r="C1241" s="3" t="s">
        <v>223</v>
      </c>
      <c r="D1241" s="20" t="s">
        <v>2460</v>
      </c>
    </row>
    <row r="1242" spans="2:4" x14ac:dyDescent="0.2">
      <c r="B1242" s="3" t="s">
        <v>2352</v>
      </c>
      <c r="C1242" s="80" t="s">
        <v>182</v>
      </c>
      <c r="D1242" s="20" t="s">
        <v>2459</v>
      </c>
    </row>
    <row r="1243" spans="2:4" x14ac:dyDescent="0.2">
      <c r="B1243" s="3" t="s">
        <v>2353</v>
      </c>
      <c r="C1243" s="80" t="s">
        <v>1303</v>
      </c>
      <c r="D1243" s="20" t="s">
        <v>2459</v>
      </c>
    </row>
    <row r="1244" spans="2:4" x14ac:dyDescent="0.2">
      <c r="B1244" s="3" t="s">
        <v>2354</v>
      </c>
      <c r="C1244" s="65" t="s">
        <v>1304</v>
      </c>
      <c r="D1244" s="20" t="s">
        <v>2462</v>
      </c>
    </row>
    <row r="1245" spans="2:4" x14ac:dyDescent="0.2">
      <c r="B1245" s="3" t="s">
        <v>2355</v>
      </c>
      <c r="C1245" s="3" t="s">
        <v>1305</v>
      </c>
      <c r="D1245" s="20" t="s">
        <v>2460</v>
      </c>
    </row>
    <row r="1246" spans="2:4" x14ac:dyDescent="0.2">
      <c r="B1246" s="3" t="s">
        <v>2356</v>
      </c>
      <c r="C1246" s="3" t="s">
        <v>1306</v>
      </c>
      <c r="D1246" s="20" t="s">
        <v>2460</v>
      </c>
    </row>
    <row r="1247" spans="2:4" x14ac:dyDescent="0.2">
      <c r="B1247" s="3" t="s">
        <v>2776</v>
      </c>
      <c r="C1247" s="3" t="s">
        <v>2358</v>
      </c>
      <c r="D1247" s="20" t="s">
        <v>175</v>
      </c>
    </row>
    <row r="1248" spans="2:4" x14ac:dyDescent="0.2">
      <c r="B1248" s="3" t="s">
        <v>2357</v>
      </c>
      <c r="C1248" s="3" t="s">
        <v>1307</v>
      </c>
      <c r="D1248" s="20" t="s">
        <v>2460</v>
      </c>
    </row>
    <row r="1249" spans="2:4" x14ac:dyDescent="0.2">
      <c r="B1249" s="3" t="s">
        <v>2359</v>
      </c>
      <c r="C1249" s="3" t="s">
        <v>1308</v>
      </c>
      <c r="D1249" s="20" t="s">
        <v>2460</v>
      </c>
    </row>
    <row r="1250" spans="2:4" x14ac:dyDescent="0.2">
      <c r="B1250" s="3" t="s">
        <v>2777</v>
      </c>
      <c r="C1250" s="3" t="s">
        <v>2361</v>
      </c>
      <c r="D1250" s="19" t="s">
        <v>175</v>
      </c>
    </row>
    <row r="1251" spans="2:4" x14ac:dyDescent="0.2">
      <c r="B1251" s="3" t="s">
        <v>2360</v>
      </c>
      <c r="C1251" s="77" t="s">
        <v>469</v>
      </c>
      <c r="D1251" s="20" t="s">
        <v>2463</v>
      </c>
    </row>
    <row r="1252" spans="2:4" x14ac:dyDescent="0.2">
      <c r="B1252" s="3" t="s">
        <v>2362</v>
      </c>
      <c r="C1252" s="71" t="s">
        <v>1309</v>
      </c>
      <c r="D1252" s="20" t="s">
        <v>2458</v>
      </c>
    </row>
    <row r="1253" spans="2:4" x14ac:dyDescent="0.2">
      <c r="B1253" s="3" t="s">
        <v>2363</v>
      </c>
      <c r="C1253" s="65" t="s">
        <v>1310</v>
      </c>
      <c r="D1253" s="20" t="s">
        <v>2461</v>
      </c>
    </row>
    <row r="1254" spans="2:4" x14ac:dyDescent="0.2">
      <c r="B1254" s="3" t="s">
        <v>2364</v>
      </c>
      <c r="C1254" s="71" t="s">
        <v>183</v>
      </c>
      <c r="D1254" s="20" t="s">
        <v>2458</v>
      </c>
    </row>
    <row r="1255" spans="2:4" x14ac:dyDescent="0.2">
      <c r="B1255" s="3" t="s">
        <v>2365</v>
      </c>
      <c r="C1255" s="71" t="s">
        <v>1311</v>
      </c>
      <c r="D1255" s="20" t="s">
        <v>2458</v>
      </c>
    </row>
    <row r="1256" spans="2:4" x14ac:dyDescent="0.2">
      <c r="B1256" s="3" t="s">
        <v>2778</v>
      </c>
      <c r="C1256" s="65" t="s">
        <v>193</v>
      </c>
      <c r="D1256" s="20" t="s">
        <v>2462</v>
      </c>
    </row>
    <row r="1257" spans="2:4" x14ac:dyDescent="0.2">
      <c r="B1257" s="3" t="s">
        <v>2366</v>
      </c>
      <c r="C1257" s="65" t="s">
        <v>119</v>
      </c>
      <c r="D1257" s="20" t="s">
        <v>2462</v>
      </c>
    </row>
    <row r="1258" spans="2:4" x14ac:dyDescent="0.2">
      <c r="B1258" s="3" t="s">
        <v>2367</v>
      </c>
      <c r="C1258" s="65" t="s">
        <v>120</v>
      </c>
      <c r="D1258" s="20" t="s">
        <v>2462</v>
      </c>
    </row>
    <row r="1259" spans="2:4" x14ac:dyDescent="0.2">
      <c r="B1259" s="3" t="s">
        <v>2368</v>
      </c>
      <c r="C1259" s="65" t="s">
        <v>121</v>
      </c>
      <c r="D1259" s="20" t="s">
        <v>2462</v>
      </c>
    </row>
    <row r="1260" spans="2:4" x14ac:dyDescent="0.2">
      <c r="B1260" s="3" t="s">
        <v>2369</v>
      </c>
      <c r="C1260" s="76" t="s">
        <v>1312</v>
      </c>
      <c r="D1260" s="20" t="s">
        <v>2462</v>
      </c>
    </row>
    <row r="1261" spans="2:4" x14ac:dyDescent="0.2">
      <c r="B1261" s="3" t="s">
        <v>2370</v>
      </c>
      <c r="C1261" s="80" t="s">
        <v>1313</v>
      </c>
      <c r="D1261" s="20" t="s">
        <v>2459</v>
      </c>
    </row>
    <row r="1262" spans="2:4" x14ac:dyDescent="0.2">
      <c r="B1262" s="3" t="s">
        <v>2371</v>
      </c>
      <c r="C1262" s="68" t="s">
        <v>470</v>
      </c>
      <c r="D1262" s="20" t="s">
        <v>2462</v>
      </c>
    </row>
    <row r="1263" spans="2:4" x14ac:dyDescent="0.2">
      <c r="B1263" s="3" t="s">
        <v>2372</v>
      </c>
      <c r="C1263" s="77" t="s">
        <v>1314</v>
      </c>
      <c r="D1263" s="20" t="s">
        <v>2462</v>
      </c>
    </row>
    <row r="1264" spans="2:4" x14ac:dyDescent="0.2">
      <c r="B1264" s="3" t="s">
        <v>2373</v>
      </c>
      <c r="C1264" s="77" t="s">
        <v>1315</v>
      </c>
      <c r="D1264" s="20" t="s">
        <v>2462</v>
      </c>
    </row>
    <row r="1265" spans="2:4" x14ac:dyDescent="0.2">
      <c r="B1265" s="3" t="s">
        <v>2779</v>
      </c>
      <c r="C1265" s="3" t="s">
        <v>2374</v>
      </c>
      <c r="D1265" s="19" t="s">
        <v>175</v>
      </c>
    </row>
    <row r="1266" spans="2:4" x14ac:dyDescent="0.2">
      <c r="B1266" s="3" t="s">
        <v>2375</v>
      </c>
      <c r="C1266" s="3" t="s">
        <v>1316</v>
      </c>
      <c r="D1266" s="20" t="s">
        <v>2460</v>
      </c>
    </row>
    <row r="1267" spans="2:4" x14ac:dyDescent="0.2">
      <c r="B1267" s="3" t="s">
        <v>2376</v>
      </c>
      <c r="C1267" s="71" t="s">
        <v>1317</v>
      </c>
      <c r="D1267" s="20" t="s">
        <v>2458</v>
      </c>
    </row>
    <row r="1268" spans="2:4" x14ac:dyDescent="0.2">
      <c r="B1268" s="3" t="s">
        <v>2377</v>
      </c>
      <c r="C1268" s="80" t="s">
        <v>1318</v>
      </c>
      <c r="D1268" s="20" t="s">
        <v>2459</v>
      </c>
    </row>
    <row r="1269" spans="2:4" x14ac:dyDescent="0.2">
      <c r="B1269" s="3" t="s">
        <v>2378</v>
      </c>
      <c r="C1269" s="71" t="s">
        <v>1319</v>
      </c>
      <c r="D1269" s="20" t="s">
        <v>2458</v>
      </c>
    </row>
    <row r="1270" spans="2:4" x14ac:dyDescent="0.2">
      <c r="B1270" s="3" t="s">
        <v>2379</v>
      </c>
      <c r="C1270" s="80" t="s">
        <v>1320</v>
      </c>
      <c r="D1270" s="20" t="s">
        <v>2459</v>
      </c>
    </row>
    <row r="1271" spans="2:4" x14ac:dyDescent="0.2">
      <c r="B1271" s="3" t="s">
        <v>2780</v>
      </c>
      <c r="C1271" s="3" t="s">
        <v>1321</v>
      </c>
      <c r="D1271" s="20" t="s">
        <v>175</v>
      </c>
    </row>
    <row r="1272" spans="2:4" x14ac:dyDescent="0.2">
      <c r="B1272" s="3" t="s">
        <v>2380</v>
      </c>
      <c r="C1272" s="81" t="s">
        <v>1322</v>
      </c>
      <c r="D1272" s="20" t="s">
        <v>2463</v>
      </c>
    </row>
    <row r="1273" spans="2:4" x14ac:dyDescent="0.2">
      <c r="B1273" s="3" t="s">
        <v>2381</v>
      </c>
      <c r="C1273" s="75" t="s">
        <v>1323</v>
      </c>
      <c r="D1273" s="20" t="s">
        <v>2463</v>
      </c>
    </row>
    <row r="1274" spans="2:4" x14ac:dyDescent="0.2">
      <c r="B1274" s="3" t="s">
        <v>2382</v>
      </c>
      <c r="C1274" s="75" t="s">
        <v>471</v>
      </c>
      <c r="D1274" s="20" t="s">
        <v>2463</v>
      </c>
    </row>
    <row r="1275" spans="2:4" x14ac:dyDescent="0.2">
      <c r="B1275" s="3" t="s">
        <v>2781</v>
      </c>
      <c r="C1275" s="75" t="s">
        <v>1324</v>
      </c>
      <c r="D1275" s="20" t="s">
        <v>2463</v>
      </c>
    </row>
    <row r="1276" spans="2:4" x14ac:dyDescent="0.2">
      <c r="B1276" s="3" t="s">
        <v>2383</v>
      </c>
      <c r="C1276" s="75" t="s">
        <v>1325</v>
      </c>
      <c r="D1276" s="20" t="s">
        <v>2463</v>
      </c>
    </row>
    <row r="1277" spans="2:4" x14ac:dyDescent="0.2">
      <c r="B1277" s="3" t="s">
        <v>2384</v>
      </c>
      <c r="C1277" s="75" t="s">
        <v>1326</v>
      </c>
      <c r="D1277" s="20" t="s">
        <v>2463</v>
      </c>
    </row>
    <row r="1278" spans="2:4" x14ac:dyDescent="0.2">
      <c r="B1278" s="3" t="s">
        <v>2385</v>
      </c>
      <c r="C1278" s="76" t="s">
        <v>1327</v>
      </c>
      <c r="D1278" s="20" t="s">
        <v>2463</v>
      </c>
    </row>
    <row r="1279" spans="2:4" x14ac:dyDescent="0.2">
      <c r="B1279" s="3" t="s">
        <v>2386</v>
      </c>
      <c r="C1279" s="71" t="s">
        <v>1328</v>
      </c>
      <c r="D1279" s="20" t="s">
        <v>2458</v>
      </c>
    </row>
    <row r="1280" spans="2:4" x14ac:dyDescent="0.2">
      <c r="B1280" s="3" t="s">
        <v>2387</v>
      </c>
      <c r="C1280" s="71" t="s">
        <v>1329</v>
      </c>
      <c r="D1280" s="20" t="s">
        <v>2458</v>
      </c>
    </row>
    <row r="1281" spans="2:4" x14ac:dyDescent="0.2">
      <c r="B1281" s="3" t="s">
        <v>2388</v>
      </c>
      <c r="C1281" s="80" t="s">
        <v>1330</v>
      </c>
      <c r="D1281" s="20" t="s">
        <v>2459</v>
      </c>
    </row>
    <row r="1282" spans="2:4" x14ac:dyDescent="0.2">
      <c r="B1282" s="3" t="s">
        <v>2389</v>
      </c>
      <c r="C1282" s="3" t="s">
        <v>472</v>
      </c>
      <c r="D1282" s="20" t="s">
        <v>2460</v>
      </c>
    </row>
    <row r="1283" spans="2:4" x14ac:dyDescent="0.2">
      <c r="B1283" s="3" t="s">
        <v>2390</v>
      </c>
      <c r="C1283" s="3" t="s">
        <v>129</v>
      </c>
      <c r="D1283" s="20" t="s">
        <v>2460</v>
      </c>
    </row>
    <row r="1284" spans="2:4" x14ac:dyDescent="0.2">
      <c r="B1284" s="3" t="s">
        <v>2391</v>
      </c>
      <c r="C1284" s="3" t="s">
        <v>1331</v>
      </c>
      <c r="D1284" s="20" t="s">
        <v>2460</v>
      </c>
    </row>
    <row r="1285" spans="2:4" x14ac:dyDescent="0.2">
      <c r="B1285" s="3" t="s">
        <v>2392</v>
      </c>
      <c r="C1285" s="88" t="s">
        <v>1332</v>
      </c>
      <c r="D1285" s="20" t="s">
        <v>2460</v>
      </c>
    </row>
    <row r="1286" spans="2:4" x14ac:dyDescent="0.2">
      <c r="B1286" s="3" t="s">
        <v>2393</v>
      </c>
      <c r="C1286" s="3" t="s">
        <v>1333</v>
      </c>
      <c r="D1286" s="20" t="s">
        <v>2460</v>
      </c>
    </row>
    <row r="1287" spans="2:4" x14ac:dyDescent="0.2">
      <c r="B1287" s="3" t="s">
        <v>2394</v>
      </c>
      <c r="C1287" s="3" t="s">
        <v>473</v>
      </c>
      <c r="D1287" s="20" t="s">
        <v>2460</v>
      </c>
    </row>
    <row r="1288" spans="2:4" x14ac:dyDescent="0.2">
      <c r="B1288" s="3" t="s">
        <v>2782</v>
      </c>
      <c r="C1288" s="3" t="s">
        <v>122</v>
      </c>
      <c r="D1288" s="20" t="s">
        <v>2460</v>
      </c>
    </row>
    <row r="1289" spans="2:4" x14ac:dyDescent="0.2">
      <c r="B1289" s="3" t="s">
        <v>2395</v>
      </c>
      <c r="C1289" s="3" t="s">
        <v>474</v>
      </c>
      <c r="D1289" s="20" t="s">
        <v>2460</v>
      </c>
    </row>
    <row r="1290" spans="2:4" x14ac:dyDescent="0.2">
      <c r="B1290" s="3" t="s">
        <v>2396</v>
      </c>
      <c r="C1290" s="75" t="s">
        <v>123</v>
      </c>
      <c r="D1290" s="20" t="s">
        <v>2463</v>
      </c>
    </row>
    <row r="1291" spans="2:4" x14ac:dyDescent="0.2">
      <c r="B1291" s="3" t="s">
        <v>2397</v>
      </c>
      <c r="C1291" s="75" t="s">
        <v>124</v>
      </c>
      <c r="D1291" s="20" t="s">
        <v>2463</v>
      </c>
    </row>
    <row r="1292" spans="2:4" x14ac:dyDescent="0.2">
      <c r="B1292" s="3" t="s">
        <v>2398</v>
      </c>
      <c r="C1292" s="75" t="s">
        <v>125</v>
      </c>
      <c r="D1292" s="20" t="s">
        <v>2463</v>
      </c>
    </row>
    <row r="1293" spans="2:4" x14ac:dyDescent="0.2">
      <c r="B1293" s="3" t="s">
        <v>2783</v>
      </c>
      <c r="C1293" s="75" t="s">
        <v>2399</v>
      </c>
      <c r="D1293" s="20" t="s">
        <v>2463</v>
      </c>
    </row>
    <row r="1294" spans="2:4" x14ac:dyDescent="0.2">
      <c r="B1294" s="3" t="s">
        <v>2400</v>
      </c>
      <c r="C1294" s="3" t="s">
        <v>1334</v>
      </c>
      <c r="D1294" s="20" t="s">
        <v>2460</v>
      </c>
    </row>
    <row r="1295" spans="2:4" x14ac:dyDescent="0.2">
      <c r="B1295" s="3" t="s">
        <v>2401</v>
      </c>
      <c r="C1295" s="3" t="s">
        <v>475</v>
      </c>
      <c r="D1295" s="20" t="s">
        <v>2460</v>
      </c>
    </row>
    <row r="1296" spans="2:4" x14ac:dyDescent="0.2">
      <c r="B1296" s="3" t="s">
        <v>2402</v>
      </c>
      <c r="C1296" s="3" t="s">
        <v>130</v>
      </c>
      <c r="D1296" s="20" t="s">
        <v>2460</v>
      </c>
    </row>
    <row r="1297" spans="2:4" x14ac:dyDescent="0.2">
      <c r="B1297" s="3" t="s">
        <v>2403</v>
      </c>
      <c r="C1297" s="3" t="s">
        <v>1335</v>
      </c>
      <c r="D1297" s="20" t="s">
        <v>2460</v>
      </c>
    </row>
    <row r="1298" spans="2:4" x14ac:dyDescent="0.2">
      <c r="B1298" s="3" t="s">
        <v>2404</v>
      </c>
      <c r="C1298" s="3" t="s">
        <v>252</v>
      </c>
      <c r="D1298" s="20" t="s">
        <v>2460</v>
      </c>
    </row>
    <row r="1299" spans="2:4" x14ac:dyDescent="0.2">
      <c r="B1299" s="3" t="s">
        <v>2405</v>
      </c>
      <c r="C1299" s="3" t="s">
        <v>1336</v>
      </c>
      <c r="D1299" s="20" t="s">
        <v>2460</v>
      </c>
    </row>
    <row r="1300" spans="2:4" x14ac:dyDescent="0.2">
      <c r="B1300" s="3" t="s">
        <v>2406</v>
      </c>
      <c r="C1300" s="3" t="s">
        <v>1337</v>
      </c>
      <c r="D1300" s="20" t="s">
        <v>2460</v>
      </c>
    </row>
    <row r="1301" spans="2:4" x14ac:dyDescent="0.2">
      <c r="B1301" s="3" t="s">
        <v>2407</v>
      </c>
      <c r="C1301" s="83" t="s">
        <v>1338</v>
      </c>
      <c r="D1301" s="20" t="s">
        <v>2460</v>
      </c>
    </row>
    <row r="1302" spans="2:4" x14ac:dyDescent="0.2">
      <c r="B1302" s="3" t="s">
        <v>2784</v>
      </c>
      <c r="C1302" s="3" t="s">
        <v>476</v>
      </c>
      <c r="D1302" s="20" t="s">
        <v>2460</v>
      </c>
    </row>
    <row r="1303" spans="2:4" x14ac:dyDescent="0.2">
      <c r="B1303" s="3" t="s">
        <v>2408</v>
      </c>
      <c r="C1303" s="3" t="s">
        <v>131</v>
      </c>
      <c r="D1303" s="20" t="s">
        <v>2460</v>
      </c>
    </row>
    <row r="1304" spans="2:4" x14ac:dyDescent="0.2">
      <c r="B1304" s="3" t="s">
        <v>2409</v>
      </c>
      <c r="C1304" s="3" t="s">
        <v>477</v>
      </c>
      <c r="D1304" s="20" t="s">
        <v>2460</v>
      </c>
    </row>
    <row r="1305" spans="2:4" x14ac:dyDescent="0.2">
      <c r="B1305" s="3" t="s">
        <v>2410</v>
      </c>
      <c r="C1305" s="3" t="s">
        <v>478</v>
      </c>
      <c r="D1305" s="20" t="s">
        <v>2460</v>
      </c>
    </row>
    <row r="1306" spans="2:4" x14ac:dyDescent="0.2">
      <c r="B1306" s="3" t="s">
        <v>2411</v>
      </c>
      <c r="C1306" s="71" t="s">
        <v>1339</v>
      </c>
      <c r="D1306" s="20" t="s">
        <v>2458</v>
      </c>
    </row>
    <row r="1307" spans="2:4" x14ac:dyDescent="0.2">
      <c r="B1307" s="3" t="s">
        <v>2412</v>
      </c>
      <c r="C1307" s="80" t="s">
        <v>479</v>
      </c>
      <c r="D1307" s="20" t="s">
        <v>2459</v>
      </c>
    </row>
    <row r="1308" spans="2:4" x14ac:dyDescent="0.2">
      <c r="B1308" s="3" t="s">
        <v>2785</v>
      </c>
      <c r="C1308" s="3" t="s">
        <v>1340</v>
      </c>
      <c r="D1308" s="20" t="s">
        <v>175</v>
      </c>
    </row>
    <row r="1309" spans="2:4" x14ac:dyDescent="0.2">
      <c r="B1309" s="3" t="s">
        <v>2413</v>
      </c>
      <c r="C1309" s="77" t="s">
        <v>480</v>
      </c>
      <c r="D1309" s="20" t="s">
        <v>2463</v>
      </c>
    </row>
    <row r="1310" spans="2:4" x14ac:dyDescent="0.2">
      <c r="B1310" s="3" t="s">
        <v>2416</v>
      </c>
      <c r="C1310" s="77" t="s">
        <v>1341</v>
      </c>
      <c r="D1310" s="20" t="s">
        <v>2463</v>
      </c>
    </row>
    <row r="1311" spans="2:4" x14ac:dyDescent="0.2">
      <c r="B1311" s="3" t="s">
        <v>2414</v>
      </c>
      <c r="C1311" s="68" t="s">
        <v>481</v>
      </c>
      <c r="D1311" s="20" t="s">
        <v>2463</v>
      </c>
    </row>
    <row r="1312" spans="2:4" x14ac:dyDescent="0.2">
      <c r="B1312" s="3" t="s">
        <v>2415</v>
      </c>
      <c r="C1312" s="77" t="s">
        <v>1342</v>
      </c>
      <c r="D1312" s="20" t="s">
        <v>2463</v>
      </c>
    </row>
    <row r="1313" spans="2:4" x14ac:dyDescent="0.2">
      <c r="B1313" s="3" t="s">
        <v>2417</v>
      </c>
      <c r="C1313" s="80" t="s">
        <v>1343</v>
      </c>
      <c r="D1313" s="20" t="s">
        <v>2459</v>
      </c>
    </row>
    <row r="1314" spans="2:4" x14ac:dyDescent="0.2">
      <c r="B1314" s="3" t="s">
        <v>2423</v>
      </c>
      <c r="C1314" s="80" t="s">
        <v>1344</v>
      </c>
      <c r="D1314" s="20" t="s">
        <v>2459</v>
      </c>
    </row>
    <row r="1315" spans="2:4" x14ac:dyDescent="0.2">
      <c r="B1315" s="3" t="s">
        <v>2424</v>
      </c>
      <c r="C1315" s="80" t="s">
        <v>1345</v>
      </c>
      <c r="D1315" s="20" t="s">
        <v>2459</v>
      </c>
    </row>
    <row r="1316" spans="2:4" x14ac:dyDescent="0.2">
      <c r="B1316" s="35" t="s">
        <v>2418</v>
      </c>
      <c r="C1316" s="80" t="s">
        <v>1346</v>
      </c>
      <c r="D1316" s="20" t="s">
        <v>2459</v>
      </c>
    </row>
    <row r="1317" spans="2:4" x14ac:dyDescent="0.2">
      <c r="B1317" s="35" t="s">
        <v>2425</v>
      </c>
      <c r="C1317" s="71" t="s">
        <v>214</v>
      </c>
      <c r="D1317" s="20" t="s">
        <v>2458</v>
      </c>
    </row>
    <row r="1318" spans="2:4" x14ac:dyDescent="0.2">
      <c r="B1318" s="35" t="s">
        <v>2426</v>
      </c>
      <c r="C1318" s="71" t="s">
        <v>184</v>
      </c>
      <c r="D1318" s="20" t="s">
        <v>2458</v>
      </c>
    </row>
    <row r="1319" spans="2:4" x14ac:dyDescent="0.2">
      <c r="B1319" s="35" t="s">
        <v>2427</v>
      </c>
      <c r="C1319" s="80" t="s">
        <v>482</v>
      </c>
      <c r="D1319" s="20" t="s">
        <v>2459</v>
      </c>
    </row>
    <row r="1320" spans="2:4" x14ac:dyDescent="0.2">
      <c r="B1320" s="35" t="s">
        <v>2428</v>
      </c>
      <c r="C1320" s="81" t="s">
        <v>1347</v>
      </c>
      <c r="D1320" s="20" t="s">
        <v>2463</v>
      </c>
    </row>
    <row r="1321" spans="2:4" x14ac:dyDescent="0.2">
      <c r="B1321" s="35" t="s">
        <v>2429</v>
      </c>
      <c r="C1321" s="71" t="s">
        <v>1348</v>
      </c>
      <c r="D1321" s="20" t="s">
        <v>2458</v>
      </c>
    </row>
    <row r="1322" spans="2:4" x14ac:dyDescent="0.2">
      <c r="B1322" s="35" t="s">
        <v>2430</v>
      </c>
      <c r="C1322" s="71" t="s">
        <v>1349</v>
      </c>
      <c r="D1322" s="20" t="s">
        <v>2458</v>
      </c>
    </row>
    <row r="1323" spans="2:4" x14ac:dyDescent="0.2">
      <c r="B1323" s="35" t="s">
        <v>2431</v>
      </c>
      <c r="C1323" s="71" t="s">
        <v>483</v>
      </c>
      <c r="D1323" s="20" t="s">
        <v>2458</v>
      </c>
    </row>
    <row r="1324" spans="2:4" ht="13.5" thickBot="1" x14ac:dyDescent="0.25">
      <c r="B1324" s="35" t="s">
        <v>2432</v>
      </c>
      <c r="C1324" s="80" t="s">
        <v>1350</v>
      </c>
      <c r="D1324" s="20" t="s">
        <v>2459</v>
      </c>
    </row>
    <row r="1325" spans="2:4" ht="13.5" thickBot="1" x14ac:dyDescent="0.25">
      <c r="B1325" s="212" t="s">
        <v>2517</v>
      </c>
      <c r="C1325" s="213"/>
      <c r="D1325" s="214"/>
    </row>
  </sheetData>
  <mergeCells count="71">
    <mergeCell ref="H80:I80"/>
    <mergeCell ref="H74:I74"/>
    <mergeCell ref="B1325:D1325"/>
    <mergeCell ref="H81:I81"/>
    <mergeCell ref="H75:I75"/>
    <mergeCell ref="H76:I76"/>
    <mergeCell ref="H77:I77"/>
    <mergeCell ref="H78:I78"/>
    <mergeCell ref="H79:I79"/>
    <mergeCell ref="H68:I68"/>
    <mergeCell ref="H69:I69"/>
    <mergeCell ref="H70:I70"/>
    <mergeCell ref="H71:I71"/>
    <mergeCell ref="H72:I72"/>
    <mergeCell ref="H73:I73"/>
    <mergeCell ref="H62:I62"/>
    <mergeCell ref="H63:I63"/>
    <mergeCell ref="H64:I64"/>
    <mergeCell ref="H65:I65"/>
    <mergeCell ref="H66:I66"/>
    <mergeCell ref="H67:I67"/>
    <mergeCell ref="H57:I57"/>
    <mergeCell ref="H58:I58"/>
    <mergeCell ref="H59:I59"/>
    <mergeCell ref="H60:I60"/>
    <mergeCell ref="H61:I61"/>
    <mergeCell ref="H54:I54"/>
    <mergeCell ref="H55:I55"/>
    <mergeCell ref="H56:I56"/>
    <mergeCell ref="H50:I50"/>
    <mergeCell ref="H51:I51"/>
    <mergeCell ref="H52:I52"/>
    <mergeCell ref="H53:I53"/>
    <mergeCell ref="H45:I45"/>
    <mergeCell ref="H46:I46"/>
    <mergeCell ref="H47:I47"/>
    <mergeCell ref="H48:I48"/>
    <mergeCell ref="H49:I49"/>
    <mergeCell ref="H42:I42"/>
    <mergeCell ref="H43:I43"/>
    <mergeCell ref="H44:I44"/>
    <mergeCell ref="H40:I40"/>
    <mergeCell ref="H41:I41"/>
    <mergeCell ref="H37:I37"/>
    <mergeCell ref="H38:I38"/>
    <mergeCell ref="H39:I39"/>
    <mergeCell ref="H34:I34"/>
    <mergeCell ref="H35:I35"/>
    <mergeCell ref="H36:I36"/>
    <mergeCell ref="F18:I18"/>
    <mergeCell ref="F31:G31"/>
    <mergeCell ref="H31:I31"/>
    <mergeCell ref="F25:F29"/>
    <mergeCell ref="G25:I29"/>
    <mergeCell ref="F19:F23"/>
    <mergeCell ref="H32:I32"/>
    <mergeCell ref="F24:I24"/>
    <mergeCell ref="F15:F17"/>
    <mergeCell ref="G19:I23"/>
    <mergeCell ref="H33:I33"/>
    <mergeCell ref="F1:I1"/>
    <mergeCell ref="G11:I11"/>
    <mergeCell ref="G12:I12"/>
    <mergeCell ref="G13:I14"/>
    <mergeCell ref="G4:I4"/>
    <mergeCell ref="G10:I10"/>
    <mergeCell ref="F3:I3"/>
    <mergeCell ref="G8:I9"/>
    <mergeCell ref="F13:F14"/>
    <mergeCell ref="G5:I7"/>
    <mergeCell ref="G15:I17"/>
  </mergeCells>
  <phoneticPr fontId="0" type="noConversion"/>
  <hyperlinks>
    <hyperlink ref="C1208" r:id="rId1" display="http://plantnet.rbgsyd.nsw.gov.au/cgi-bin/NSWfl.pl?page=nswfl&amp;lvl=gn&amp;name=Thellungia" xr:uid="{C576BE46-F9D0-4105-8D05-2E2CEE15C86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VEGETATION</vt:lpstr>
      <vt:lpstr>Sp_score_ref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Wong</dc:creator>
  <cp:lastModifiedBy>David Coleman</cp:lastModifiedBy>
  <dcterms:created xsi:type="dcterms:W3CDTF">2008-10-05T01:57:40Z</dcterms:created>
  <dcterms:modified xsi:type="dcterms:W3CDTF">2025-04-01T03:56:14Z</dcterms:modified>
</cp:coreProperties>
</file>